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Rezumat" state="visible" r:id="rId4"/>
    <sheet sheetId="7" name="Abordare" state="visible" r:id="rId5"/>
    <sheet sheetId="8" name="Resurse" state="visible" r:id="rId6"/>
    <sheet sheetId="2" name="Localități" state="visible" r:id="rId7"/>
    <sheet sheetId="3" name="Tarife" state="visible" r:id="rId8"/>
    <sheet sheetId="4" name="Național" state="visible" r:id="rId9"/>
    <sheet sheetId="5" name="De sunat" state="visible" r:id="rId10"/>
    <sheet sheetId="6" name="Întrebări telefon" state="visible" r:id="rId11"/>
  </sheets>
  <definedNames>
    <definedName name="_xlnm._FilterDatabase">Tarife!$A$1:$S$576</definedName>
  </definedNames>
  <calcPr calcId="171027"/>
</workbook>
</file>

<file path=xl/sharedStrings.xml><?xml version="1.0" encoding="utf-8"?>
<sst xmlns="http://schemas.openxmlformats.org/spreadsheetml/2006/main" count="10631" uniqueCount="1637">
  <si>
    <t>Taxe de acces pentru camioane în România</t>
  </si>
  <si>
    <t>Cercetare din 10.10.2026: București, cele 40 de localități din Ilfov, 40 de reședințe de județ și taxele naționale.</t>
  </si>
  <si>
    <t>Status</t>
  </si>
  <si>
    <t>Ilfov + București</t>
  </si>
  <si>
    <t>Reședințe de județ</t>
  </si>
  <si>
    <t>Ce înseamnă</t>
  </si>
  <si>
    <t>Sume găsite, confirmate din act</t>
  </si>
  <si>
    <t>Valorile au fost citite în HCL sau în anexa lui. Gata de folosit, cu atenție la data actului.</t>
  </si>
  <si>
    <t>Sume găsite, de confirmat</t>
  </si>
  <si>
    <t>Valori de pe o pagină oficială care citează actul, din presă sau dintr-un agregator. De confirmat cu primăria.</t>
  </si>
  <si>
    <t>Sume din proiect HCL</t>
  </si>
  <si>
    <t>Valorile vin dintr-un proiect de hotărâre. De verificat dacă a fost adoptat așa.</t>
  </si>
  <si>
    <t>Doar proiect, sume din proiect</t>
  </si>
  <si>
    <t>Taxa e doar propusă, nu știm dacă a fost adoptată.</t>
  </si>
  <si>
    <t>Taxa există, sume negăsite</t>
  </si>
  <si>
    <t>Știm că există autorizație cu plată, dar nu am putut citi tarifele.</t>
  </si>
  <si>
    <t>Doar restricții, sume negăsite</t>
  </si>
  <si>
    <t>Am găsit restricții sau interdicții, fără tarife.</t>
  </si>
  <si>
    <t>Negăsit online</t>
  </si>
  <si>
    <t>Nimic găsit online. Nu înseamnă că nu există taxă. De sunat.</t>
  </si>
  <si>
    <t>Total localități</t>
  </si>
  <si>
    <t>Înregistrări de tarif în foaia Tarife</t>
  </si>
  <si>
    <t>din care cu valoare găsită</t>
  </si>
  <si>
    <t>Cum se citește</t>
  </si>
  <si>
    <t>• „Localități” are un rând pe localitate, cu status, un exemplu de tarif, actul, cum se obține autorizația și ce lipsește.</t>
  </si>
  <si>
    <t>• „Tarife” are toate tarifele găsite, câte un rând pe zonă, clasă de masă și perioadă, cu sursa pentru fiecare.</t>
  </si>
  <si>
    <t>• „Național” are TollRo (taxa pe km de la 01.10.2026, care a înlocuit rovinieta peste 3,5 t), podurile, autorizațiile speciale și restricțiile naționale.</t>
  </si>
  <si>
    <t>• „De sunat” e lista localităților unde informația lipsește sau trebuie confirmată, ordonată după prioritate, cu loc pentru răspuns.</t>
  </si>
  <si>
    <t>• „Întrebări telefon” are întrebările standard pentru primării.</t>
  </si>
  <si>
    <t>• Zonele din București (regim 2026) sunt și în fișierul GeoJSON separat, pentru harta zonelor din aplicație.</t>
  </si>
  <si>
    <t>• Nicio valoare nu este estimată. Unde sursa nu era clară, încrederea e marcată mai jos. Un agent separat a verificat 209 valori față de surse: 187 corecte, 0 greșite, 22 neverificabile.</t>
  </si>
  <si>
    <t>• Liniuțele lungi din textele copiate din surse au fost înlocuite cu cratimă.</t>
  </si>
  <si>
    <t>• „Abordare” explică cum umplem golurile: ordine surse (HCL → site → agregator), flux confirmare/apeluri, priorități de acoperire și capcane — fără detalii tehnice de implementare.</t>
  </si>
  <si>
    <t>• „Resurse” listează datele deja din acest fișier, canale oficiale (emol, hcl.usr.ro, PMB), agregatoare doar ca seed (Euload, BursaTransport), portale de plată ca semnal, și keywords de căutare HCL.</t>
  </si>
  <si>
    <t>Temă</t>
  </si>
  <si>
    <t>Ce facem / cum abordăm</t>
  </si>
  <si>
    <t>Notă</t>
  </si>
  <si>
    <t>1. Problema de date</t>
  </si>
  <si>
    <t>Ce lipsește național</t>
  </si>
  <si>
    <t>Nu există un registru sau un dataset oficial central pentru taxele / autorizațiile de acces ale camioanelor pe UAT. Fiecare primărie decide prin HCL/HCGMB, publică pe site sau MOL, adesea în PDF scanat.</t>
  </si>
  <si>
    <t>Mapix = agregator cu proveniență legală, nu inventator de tarife.</t>
  </si>
  <si>
    <t>Ce întrebăm pentru fiecare UAT</t>
  </si>
  <si>
    <t>1) Există restricție / taxă de acces pe tonaj? 2) Care e tariful pe MTMA și perioadă? 3) Pe ce zonă / străzi? 4) Care e actul (HCL) și data? 5) Cum se obține autorizația?</t>
  </si>
  <si>
    <t>Aceleași întrebări ca în foaia „Întrebări telefon”.</t>
  </si>
  <si>
    <t>Ce NU amestecăm</t>
  </si>
  <si>
    <t>Taxă locală UAT (această foaie) ≠ TollRo / rovinietă pe DN-A (foaia „Național”) ≠ permis liberă trecere pe drumuri județene (CJ) ≠ impozit pe mijlocul de transport.</t>
  </si>
  <si>
    <t>TollRo pe DN din intravilanul municipiilor e exclus — acolo intervin taxele locale.</t>
  </si>
  <si>
    <t>2. Sursă de adevăr (ordine)</t>
  </si>
  <si>
    <t>1. Act oficial</t>
  </si>
  <si>
    <t>HCL / HCGMB cu anexa de taxe + (dacă e separat) regulamentul de circulație / delimitare zone. Doar valorile citite aici primesc „confirmat din actul oficial”.</t>
  </si>
  <si>
    <t>Gata de folosit, cu atenție la data actului.</t>
  </si>
  <si>
    <t>2. Pagină oficială care citează actul</t>
  </si>
  <si>
    <t>Site primărie, Poliție Locală, portal autorizări — utile, dar trebuiesc confirmate cu PDF-ul HCL.</t>
  </si>
  <si>
    <t>Status: „de confirmat”.</t>
  </si>
  <si>
    <t>3. Agregator / presă</t>
  </si>
  <si>
    <t>Euload, BursaTransport, articole — doar ca seed / indiciu unde să căutăm. Nu publicăm și nu tratăm ca sursă finală fără HCL.</t>
  </si>
  <si>
    <t>Pot fi outdated.</t>
  </si>
  <si>
    <t>4. Portal de plată</t>
  </si>
  <si>
    <t>ghiseul.ro, GlobalPay, e-primărie etc. arată că taxa există (zi/lună), dar rar afișează tabelul complet pe MTMA.</t>
  </si>
  <si>
    <t>Status tipic: „Taxa există, sume negăsite”.</t>
  </si>
  <si>
    <t>Regulă de aur</t>
  </si>
  <si>
    <t>Nicio valoare estimată. Dacă OCR-ul e slab sau anexa e ilizibilă → marcăm lipsă și trecem pe „De sunat”, nu inventăm sume.</t>
  </si>
  <si>
    <t>Agentul de verificare: 209 valori verificate, 187 corecte, 0 greșite, 22 neverificabile.</t>
  </si>
  <si>
    <t>3. Cum umplem golurile (flux)</t>
  </si>
  <si>
    <t>Pas A — inventar</t>
  </si>
  <si>
    <t>Pornim de la foile Localități + Tarife + De sunat din acest fișier (cercetare 10.10.2026). Statusul pe localitate spune ce e gata și ce lipsește.</t>
  </si>
  <si>
    <t>81 localități în scope-ul curent (București + Ilfov + reședințe).</t>
  </si>
  <si>
    <t>Pas B — confirmare din act</t>
  </si>
  <si>
    <t>Pentru „Sume găsite, de confirmat” și „din sursă secundară”: găsim PDF-ul HCL (emol / site primărie / hcl.usr.ro), citim anexa, actualizăm Tarife + status + încredere.</t>
  </si>
  <si>
    <t>Prioritate: reședințe cu trafic greu + hub-uri Ilfov (Otopeni, Popești-Leordeni, Voluntari…).</t>
  </si>
  <si>
    <t>Pas C — apeluri</t>
  </si>
  <si>
    <t>Pentru „Negăsit online”, „Taxa există, sume negăsite”, PDF scanat necitit: folosim „Întrebări telefon”, notăm în coloana galbenă din „De sunat”, cerem actul pe email.</t>
  </si>
  <si>
    <t>~39 localități „Negăsit online” doar în Ilfov+București; încă ~9 la reședințe.</t>
  </si>
  <si>
    <t>Pas D — citire manuală PDF scanat</t>
  </si>
  <si>
    <t>Unele HCL există ca link (ex. Bragadiru, Dragomirești-Vale, 1 Decembrie) dar sunt scanate. Citire umană / OCR țintit, apoi rânduri în Tarife.</t>
  </si>
  <si>
    <t>Mai ieftin decât apelul când PDF-ul e deja găsit.</t>
  </si>
  <si>
    <t>Pas E — actualizare după răspuns</t>
  </si>
  <si>
    <t>După email/apel: (1) adăugăm rânduri în Tarife, (2) actualizăm Localități (status, act, cum se obține, contact), (3) scoatem sau coborâm prioritatea din De sunat.</t>
  </si>
  <si>
    <t>Păstrăm URL-ul actului ca sursă principală.</t>
  </si>
  <si>
    <t>4. Priorități de acoperire</t>
  </si>
  <si>
    <t>Acum (gold)</t>
  </si>
  <si>
    <t>Localități cu „Sume găsite, confirmate din act” — gata de folosit. Exemplu: București (regim 2026 ZA/ZB + note 2027), Afumați, Buftea, Chiajna, Arad, Oradea etc.</t>
  </si>
  <si>
    <t>14 confirmate din act în total (4 Ilfov+Buc + 10 reședințe).</t>
  </si>
  <si>
    <t>Următorul lot</t>
  </si>
  <si>
    <t>1) Hub-uri Ilfov fără tarife online. 2) Reședințe „de confirmat” (valori din agregator/presă). 3) „Taxa există, sume negăsite” (formular/ghiseu fără tabel).</t>
  </si>
  <si>
    <t>Lista operativă = foaia De sunat, sortată pe Prioritate.</t>
  </si>
  <si>
    <t>Extindere ulterioară</t>
  </si>
  <si>
    <t>După cele 81: celelalte municipii / orașe cu regim cunoscut, apoi comune pe coridoare de trafic greu. Fiecare UAT nou intră cu status explicit (has fees / no fees confirmed / unknown).</t>
  </si>
  <si>
    <t>Nu blocăm pe „toate comunele din RO”.</t>
  </si>
  <si>
    <t>Sezon intens</t>
  </si>
  <si>
    <t>Noiembrie–ianuarie: primăriile adoptă HCL taxe pentru anul următor. Re-verificare obligatorie pe municipii și pe localitățile cu trafic greu.</t>
  </si>
  <si>
    <t>București: urmăriți și regulamentul 2027 (Zona B extinsă).</t>
  </si>
  <si>
    <t>5. Ce colectăm pe fiecare localitate</t>
  </si>
  <si>
    <t>Minim publicabil</t>
  </si>
  <si>
    <t>Județ, localitate, status, încredere, cel puțin un bracket MTMA cu tip taxă + valoare (sau interzis / fără taxă), act + URL, data sursei.</t>
  </si>
  <si>
    <t>Fără valoare numerică inventată.</t>
  </si>
  <si>
    <t>Ideal complet</t>
  </si>
  <si>
    <t>Toate clasele de masă × perioade (zi/lună/an/…), zone separate, orar, excepții (rezidenți), cum se obține, contact, limite zonă în text, GeoJSON dacă există delimitare.</t>
  </si>
  <si>
    <t>București e modelul de completitudine.</t>
  </si>
  <si>
    <t>Geo / zone</t>
  </si>
  <si>
    <t>Multe UAT au doar listă de străzi sau „tot orașul”. Digitizăm poligoane doar unde există delimitare clară (București 2026 deja în GeoJSON separat). Restul: text în coloana „Limite zonă”.</t>
  </si>
  <si>
    <t>Geo incomplet ≠ tarif invalid.</t>
  </si>
  <si>
    <t>6. Capcane frecvente</t>
  </si>
  <si>
    <t>Agregator = adevăr</t>
  </si>
  <si>
    <t>Euload / BursaTransport pot avea tarife vechi sau incomplete. Folosim doar ca indiciu, apoi HCL.</t>
  </si>
  <si>
    <t/>
  </si>
  <si>
    <t>Confuzie TollRo vs local</t>
  </si>
  <si>
    <t>Transportatorii confundă taxa pe km (CNAIR) cu autorizația de acces în oraș. În foaie le ținem separate (Național vs Localități/Tarife).</t>
  </si>
  <si>
    <t>Proiect ≠ adoptat</t>
  </si>
  <si>
    <t>Proiect HCL sau consultare publică → status „Sume din proiect” / „Doar proiect”. Nu marcăm „confirmat din act” până nu avem hotărârea adoptată.</t>
  </si>
  <si>
    <t>Negăsit online ≠ fără taxă</t>
  </si>
  <si>
    <t>Absența pe site nu dovedește absența taxei. Doar apel + confirmare primărie poate trece în „nu există taxă” (status de inventat ulterior dacă e cazul).</t>
  </si>
  <si>
    <t>Actualizare foaie</t>
  </si>
  <si>
    <t>Adăugat 11.10.2026 — completare la cercetarea CTO (10.10.2026): doar abordare research + inventar resurse, fără detalii de implementare tehnică.</t>
  </si>
  <si>
    <t>Tip</t>
  </si>
  <si>
    <t>Nume</t>
  </si>
  <si>
    <t>URL / locație</t>
  </si>
  <si>
    <t>Rol în research</t>
  </si>
  <si>
    <t>Limitare</t>
  </si>
  <si>
    <t>Date existente</t>
  </si>
  <si>
    <t>Acest fișier Excel</t>
  </si>
  <si>
    <t>data/research/Taxe_acces_camioane_Romania.xlsx</t>
  </si>
  <si>
    <t>Setul principal structurat: 81 localități, 575 rânduri tarif, 481 cu valoare; + Național + De sunat</t>
  </si>
  <si>
    <t>Scope = București + Ilfov + 40 reședințe, nu toată RO</t>
  </si>
  <si>
    <t>GeoJSON zone București 2026</t>
  </si>
  <si>
    <t>Fișier GeoJSON separat (menționat în Rezumat)</t>
  </si>
  <si>
    <t>Delimitare Zona A / Zona B pentru hartă</t>
  </si>
  <si>
    <t>Doar București regim 2026; 2027 încă fără geometrie finală publicată</t>
  </si>
  <si>
    <t>Verificare internă valori</t>
  </si>
  <si>
    <t>În Rezumat (agent de verificare)</t>
  </si>
  <si>
    <t>209 valori re-verificate față de sursă: 187 corecte, 0 greșite, 22 neverificabile</t>
  </si>
  <si>
    <t>Nu acoperă toate cele 481 valori</t>
  </si>
  <si>
    <t>Oficial — discovery</t>
  </si>
  <si>
    <t>emol.ro (Monitor Oficial Local)</t>
  </si>
  <si>
    <t>https://emol.ro/</t>
  </si>
  <si>
    <t>Publicare HCL pe UAT; PDF-uri oficiale</t>
  </si>
  <si>
    <t>Heterogen; multe scanări</t>
  </si>
  <si>
    <t>hcl.usr.ro</t>
  </si>
  <si>
    <t>https://hcl.usr.ro/ și https://hcl.usr.ro/cautare</t>
  </si>
  <si>
    <t>Căutare / index HCL pe entități (OCR pe multe municipii)</t>
  </si>
  <si>
    <t>Nu acoperă toate UAT; fără API public</t>
  </si>
  <si>
    <t>MOL pe site-ul primăriei</t>
  </si>
  <si>
    <t>Secțiune „Monitor Oficial Local” / HCL pe fiecare site</t>
  </si>
  <si>
    <t>Canal oficial când emol lipsește sau e incomplet</t>
  </si>
  <si>
    <t>Structură diferită per UAT</t>
  </si>
  <si>
    <t>Oficial — București</t>
  </si>
  <si>
    <t>PMB acte interne / HCGMB</t>
  </si>
  <si>
    <t>https://doc.pmb.ro/ (ex. anexă HCGMB 514/2025 taxe 2026)</t>
  </si>
  <si>
    <t>Sursă de aur pentru tarife + regulamente circulație grea</t>
  </si>
  <si>
    <t>PDF-uri uneori scanate (OCR pe coloane)</t>
  </si>
  <si>
    <t>PMB Direcția Transporturi</t>
  </si>
  <si>
    <t>https://www3.pmb.ro/transport/autorizatie</t>
  </si>
  <si>
    <t>Procedură operațională autorizație (nu înlocuiește HCL)</t>
  </si>
  <si>
    <t>Tarifele complete sunt în anexele HCGMB</t>
  </si>
  <si>
    <t>Oficial — național</t>
  </si>
  <si>
    <t>TollRo / CNAIR</t>
  </si>
  <si>
    <t>https://etoll.ro/ (și legislație Legea 226/2023)</t>
  </si>
  <si>
    <t>Taxă pe km &gt;3,5 t de la 01.10.2026 — strat separat de UAT</t>
  </si>
  <si>
    <t>Nu e taxă de acces locală; detalii în foaia Național</t>
  </si>
  <si>
    <t>legislatie.just.ro</t>
  </si>
  <si>
    <t>https://legislatie.just.ro/</t>
  </si>
  <si>
    <t>Text legi / OG pentru TollRo, rovinietă, AST</t>
  </si>
  <si>
    <t>Nu conține HCL-uri locale</t>
  </si>
  <si>
    <t>Agregator (seed)</t>
  </si>
  <si>
    <t>BursaTransport — taxe acces</t>
  </si>
  <si>
    <t>https://www.bursatransport.com/info/access/index</t>
  </si>
  <si>
    <t>41 articole pe reședințe; bun pentru discovery și cross-check</t>
  </si>
  <si>
    <t>Neoficial, poate outdated; fără zone geo API</t>
  </si>
  <si>
    <t>Euload — taxe locale</t>
  </si>
  <si>
    <t>https://euload.com/info.php?catID=34</t>
  </si>
  <si>
    <t>~50 localități, tabele + linkuri hărți My Maps</t>
  </si>
  <si>
    <t>Neoficial; nu publicăm fără HCL</t>
  </si>
  <si>
    <t>123cargo (mirror BT)</t>
  </si>
  <si>
    <t>https://www.123cargo.eu/ro-md/info/access/index</t>
  </si>
  <si>
    <t>Oglindă BursaTransport</t>
  </si>
  <si>
    <t>Aceeași limitare ca BT</t>
  </si>
  <si>
    <t>Agregator (alt strat)</t>
  </si>
  <si>
    <t>RouteCalc</t>
  </si>
  <si>
    <t>https://routecalc.eu/</t>
  </si>
  <si>
    <t>Rutare / toll EU + TollRo — nu taxe LT locale</t>
  </si>
  <si>
    <t>Nu acoperă HCL UAT</t>
  </si>
  <si>
    <t>Portal plată / ops</t>
  </si>
  <si>
    <t>Ghișeul.ro</t>
  </si>
  <si>
    <t>https://www.ghiseul.ro/</t>
  </si>
  <si>
    <t>Semnalează tipuri de taxă („autorizație transport greu”) per instituție</t>
  </si>
  <si>
    <t>Adesea fără tabel MTMA public</t>
  </si>
  <si>
    <t>TPARK — taxă trafic greu</t>
  </si>
  <si>
    <t>https://tpark.io/taxa-trafic-greu/</t>
  </si>
  <si>
    <t>Plată pentru un subset de UAT</t>
  </si>
  <si>
    <t>~11 UAT; nu e registru național</t>
  </si>
  <si>
    <t>GlobalPay eAccesAuto</t>
  </si>
  <si>
    <t>Linkuri din paginile agregatoare / primării</t>
  </si>
  <si>
    <t>Canal de plată</t>
  </si>
  <si>
    <t>Fără tabel public de tarife</t>
  </si>
  <si>
    <t>Insule digitale per oraș</t>
  </si>
  <si>
    <t>Timișoara servicii.primariatm.ro/restrictie-tonaj; Cluj e-Primăria; Satu Mare tir.primariasm.ro; Brașov ltbrasov.ro (CJ)</t>
  </si>
  <si>
    <t>Procedură + uneori GIS local</t>
  </si>
  <si>
    <t>Fiecare e un siloz; nu se agregă singure</t>
  </si>
  <si>
    <t>Căutare HCL — cuvinte</t>
  </si>
  <si>
    <t>Keywords utile</t>
  </si>
  <si>
    <t>taxă acces · autorizație circulație · MTMA · liberă trecere · tonaj · autovehicule grele · transport mărfuri · impozite și taxe locale (anexa)</t>
  </si>
  <si>
    <t>Folosite pe site primărie, emol, hcl.usr.ro, Google site:</t>
  </si>
  <si>
    <t>Anexa de taxe e deseori în alt PDF decât regulamentul de zone</t>
  </si>
  <si>
    <t>Căutare HCL — tip act</t>
  </si>
  <si>
    <t>Două acte tipice</t>
  </si>
  <si>
    <t>1) HCL impozite și taxe locale (anexa cu tarife)  2) HCL / regulament circulație grea (zone, ore, excepții)</t>
  </si>
  <si>
    <t>Trebuie ambele pentru un UAT „complet”</t>
  </si>
  <si>
    <t>Uneori tarifele sunt într-un regulament separat de taxe</t>
  </si>
  <si>
    <t>Organizații / context</t>
  </si>
  <si>
    <t>UNTRR și comunicare PMB</t>
  </si>
  <si>
    <t>Comunicate / poziții publice (riverani, Zona B, costuri multiple)</t>
  </si>
  <si>
    <t>Context pe durere transportatori; nu sursă de tarife</t>
  </si>
  <si>
    <t>Nu înlocuiește HCL</t>
  </si>
  <si>
    <t>Ce NU există</t>
  </si>
  <si>
    <t>data.gov.ro — dataset taxe acces</t>
  </si>
  <si>
    <t>—</t>
  </si>
  <si>
    <t>Verificat: nu există dataset național open data pentru taxele locale de acces camioane</t>
  </si>
  <si>
    <t>Confirmă nevoia de agregare proprie</t>
  </si>
  <si>
    <t>Gap față de piață</t>
  </si>
  <si>
    <t>Euload / BursaTransport vs acest research</t>
  </si>
  <si>
    <t>Ei: 41–50 orașe, tabele/text, fără coverage UAT + geo național. Acest fișier: 81 UAT cu status + 481 valori + coadă de apel + strat național.</t>
  </si>
  <si>
    <t>Nimeni nu oferă încă registru HCL-backed pe toate UAT cu zone + tarife pe MTMA</t>
  </si>
  <si>
    <t>Actualizare</t>
  </si>
  <si>
    <t>Adăugat 11.10.2026</t>
  </si>
  <si>
    <t>Completare research: catalog resurse + date deja existente. Fără stack tehnic.</t>
  </si>
  <si>
    <t>Județ</t>
  </si>
  <si>
    <t>Localitate</t>
  </si>
  <si>
    <t>Încredere maximă</t>
  </si>
  <si>
    <t>Exemplu tarif (clasa cea mai mică)</t>
  </si>
  <si>
    <t>Nr. tarife găsite</t>
  </si>
  <si>
    <t>Act normativ</t>
  </si>
  <si>
    <t>Cum se obține autorizația</t>
  </si>
  <si>
    <t>Contact instituție</t>
  </si>
  <si>
    <t>Ce lipsește / observații</t>
  </si>
  <si>
    <t>Sursă principală</t>
  </si>
  <si>
    <t>București</t>
  </si>
  <si>
    <t>confirmat din actul oficial</t>
  </si>
  <si>
    <t>5-7,5 t inclusiv (Zona A (regim actual, 2026)): zi 363 RON, lună 3147 RON</t>
  </si>
  <si>
    <t>HCGMB nr. 134/26.08.2004 privind circulația autovehiculelor destinate transportului de mărfuri și a utilajelor cu masa totală maximă autorizată mai mare de 5 tone în municipiul București, modificată prin HCGMB 132/2005, 260/2005, 312/2009, 135/2021, 29/2024, 137/2025; valori 2026: HCGMB nr. 514/23.12.2025 (impozite și taxe locale începând cu 2026), Anexa nr. 2 pct. 3.3</t>
  </si>
  <si>
    <t>Online pe platforma PMB Direcția Transporturi: cont la https://www3.pmb.ro/transport/register, cerere la https://www3.pmb.ro/transport/autorizatie (date solicitant + scop/tip transport); autorizație electronică tip vinietă (HCGMB 135/2021), prezentată la control cu certificatul de înmatriculare; verificare după nr. de înmatriculare: https://www3.pmb.ro/transport/search-page. Conform e-juridic.manager.ro (05.01.2024) se poate obține și la sediul PMB, doar electronic. Metoda de plată și termenul de emitere nu au fost confirmate dintr-o sursă oficială.</t>
  </si>
  <si>
    <t>Primăria Municipiului București - Direcția Transporturi, Serviciul Autorizări Auto (platforma https://www3.pmb.ro/transport). Control: Poliția Locală a Municipiului București și poliția locală a sectoarelor, Brigada Rutieră.</t>
  </si>
  <si>
    <t>Regim 2026: Zona A și Zona B, peste 5 t. Din 01.01.2027 (regulament adoptat 30.09.2026, număr HCGMB încă nepublicat la 10.10.2026) Zona B devine tot orașul, dispar orele, apare abonament anual = 10 taxe lunare. Hărți: GeoJSON 2026 atașat separat. Coloanele zi/lună din HCGMB 514/2025 sunt deduse din ordinea OCR.</t>
  </si>
  <si>
    <t>https://doc.pmb.ro/legis/acteinterne/2025/47690/anexah514_25.pdf</t>
  </si>
  <si>
    <t>Ilfov</t>
  </si>
  <si>
    <t>1 Decembrie</t>
  </si>
  <si>
    <t>HCL nr. 49/30.12.2025 (impozite și taxe locale 2026): scanat, necitit</t>
  </si>
  <si>
    <t>Primăria Comunei 1 Decembrie, Str. Crișana nr. 1; primaria1decembrie.ro; tel. 021 369 13 15 / 021 369 13 17; contact@primaria1decembrie.ro; taxe: taxesiimpozite@primaria1decembrie.ro; Poliția Locală: Șos. Giurgiului nr. 196, tel. 021 468 71 07</t>
  </si>
  <si>
    <t>Nimic găsit online (site blocat, PDF scanat sau nicio mențiune). De sunat la primărie / poliția locală.</t>
  </si>
  <si>
    <t>https://primaria1decembrie.ro/wp-content/uploads/2026/01/HCL-49-din-30.12.2025.pdf</t>
  </si>
  <si>
    <t>Afumați</t>
  </si>
  <si>
    <t>peste 7,5 t (persoane fizice) (comuna Afumați): zi 80 RON, lună 367 RON, an 1432 RON, abonament 790 RON</t>
  </si>
  <si>
    <t>HCL Afumați privind impozitele și taxele locale pentru anul 2026 (număr ilizibil în PDF; proiect nr. 39129/22.12.2025), Anexa 1A, cap. VIII «Taxe speciale», pct. 62</t>
  </si>
  <si>
    <t>Nespecificat în anexa citită; plată posibil la Serviciul Taxe și Impozite (neconfirmat).</t>
  </si>
  <si>
    <t>Primăria Afumați, Șos. București-Urziceni nr. 151; tel. (021) 352 94 24; fax (021) 350 12 86; secretariat@primariaafumati.ro; Poliția Locală 0728 878 933; www.primariaafumati.ro</t>
  </si>
  <si>
    <t>HCL taxe 2026, număr ilizibil, OCR slab. PF/PJ tarife diferite.</t>
  </si>
  <si>
    <t>https://www.primariaafumati.ro/fisiere/pdf/taxe/hcl_taxe2026.pdf</t>
  </si>
  <si>
    <t>Balotești</t>
  </si>
  <si>
    <t>Primăria Balotești, Calea București (DN1) nr. 89, sat Săftica; tel. 0213511092/106; https://primariabalotesti.ro</t>
  </si>
  <si>
    <t>https://www.ghiseul.ro/ghiseul/public/institutii/detalii?id_inst=4947</t>
  </si>
  <si>
    <t>Berceni</t>
  </si>
  <si>
    <t>Proiect de hotărâre (consultare publică) „privind instituirea taxei speciale pentru utilizarea infrastructurii rutiere locale aflate în administrarea Comunei Berceni, de către vehicule, utilaje și echipamente destinate desfășurării de activități economice”</t>
  </si>
  <si>
    <t>Primăria Comunei Berceni, Bd. 1 Mai nr. 233; www.primariaberceni.ro; tel. 021 365 19 68; fax 021 361 27 03; registratura@primariaberceni.ro</t>
  </si>
  <si>
    <t>Proiect august 2026 pentru taxă de utilizare a drumurilor, neadoptat la data verificării.</t>
  </si>
  <si>
    <t>https://www.primariaberceni.ro/wp-content/uploads/2026/08/2.-PH-Taxa-speciala-anonimizat.pdf</t>
  </si>
  <si>
    <t>Bragadiru</t>
  </si>
  <si>
    <t>Primăria Orașului Bragadiru, www.primariaorasbragadiru.ro; tel. 021 448 07 95; Direcția Poliția Locală: Șos. Alexandriei nr. 249, tel. 0743 211 626</t>
  </si>
  <si>
    <t>HCL 184/2025 (taxe) și HCL 41/2025 (circulație) scanate: de citit manual.</t>
  </si>
  <si>
    <t>https://www.primariaorasbragadiru.ro/index.php/mol/hotararile-autoritatii-deliberative</t>
  </si>
  <si>
    <t>Brănești</t>
  </si>
  <si>
    <t>din sursă secundară</t>
  </si>
  <si>
    <t>7-12 t inclusiv (comuna Brănești): zi 100 RON, lună 1000 RON, an 4000 RON</t>
  </si>
  <si>
    <t>HCL Brănești nr. 47 din 28.03.2024, cu Anexa 1 (Regulament)</t>
  </si>
  <si>
    <t>1) Casieria primăriei (numerar/card), cu certificatul de înmatriculare; 2) ordin de plată către Comuna Brănești, Trezoreria Ilfov, CF 4420724, cu nr. înmatriculare, marcă/model, masa F.1, MMTA ansamblu, data și perioada accesului; 3) online pe ghiseul.ro, «Plătește fără autentificare», județ Ilfov, Brănești IF, cod taxă 21.A.18.50.00.</t>
  </si>
  <si>
    <t>Primăria Brănești, Str. I. C. Brătianu nr. 69, Brănești, Ilfov, 077030; tel. 021.315.09.83; tel./fax 021.350.12.58; fax 0330.819.365; Poliția Locală (echipaj) 0728.329.637; www.primaria-branesti.ro; MOL: emol.ro/branesti-if</t>
  </si>
  <si>
    <t>HCL 47/2024, din anunțul primăriei; plata prin ghiseul.ro.</t>
  </si>
  <si>
    <t>https://www.primaria-branesti.ro/index.php/anunturi-importante/410-accesul-autovehiculelor-grele-in-comuna-branesti-judetul-ilfov</t>
  </si>
  <si>
    <t>Buftea</t>
  </si>
  <si>
    <t>3,5-5 t (proprietar cu sediul/domiciliul în Buftea) (oraș Buftea): zi 31 RON, lună 148 RON, an 1484 RON</t>
  </si>
  <si>
    <t>HCL Buftea nr. 185 din 22.12.2025 privind impozitele și taxele locale pentru anul fiscal 2026, Anexă, cap. IX, «TRANSPORT MARFURI/UTILAJE MASA AUTORIZATA&gt; 3,5 T» (temei art. 486 alin. (2) Cod fiscal)</t>
  </si>
  <si>
    <t>Plată la Direcția Impozite și Taxe Locale Buftea sau pe ghiseul.ro, tip taxă «Taxă acces autovehicule destinate transport marfă şi utilaje cu masa &gt; 3,5 tone» (necesită autentificare).</t>
  </si>
  <si>
    <t>Primăria Buftea, Piața Mihai Eminescu nr. 1; tel. 031 824 1231; www.primariabuftea.ro. Poliția Locală Buftea, str. Fulger nr. 49A; tel./fax 031.824.15.85; dispecerat 0758.497.397; politia.locala@primariabuftea.ro</t>
  </si>
  <si>
    <t>Rezidenți confirmați; nerezidenți OCR fără etichete de clasă. Clasele 7,5-12,5 și 12,5-16 t au aceeași valoare lunară/anuală (pare așa în act).</t>
  </si>
  <si>
    <t>https://www.primariabuftea.ro/wp-content/uploads/2026/01/1851.pdf</t>
  </si>
  <si>
    <t>Cernica</t>
  </si>
  <si>
    <t>necunoscut (HCL taxe 2026 nr. 85 din 23.12.2025 este PDF scanat, necitibil)</t>
  </si>
  <si>
    <t>Plată posibilă pe ghiseul.ro (cu autentificare) sau la primărie; procedura nu a fost găsită.</t>
  </si>
  <si>
    <t>Primăria Cernica, str. Bizanțului nr. 105, 077035; tel./fax 021/3695308; https://cernica.informare.ro</t>
  </si>
  <si>
    <t>Pe ghiseul.ro există „autorizație transport greu” zi și lună; sume și prag de masă negăsite (HCL 85/2025 scanat).</t>
  </si>
  <si>
    <t>https://www.ghiseul.ro/ghiseul/public/institutii/detalii?id_inst=14688</t>
  </si>
  <si>
    <t>Chiajna</t>
  </si>
  <si>
    <t>Autovehicule cu masa totala maxima autorizata cuprinsa intre 7,5-12 tone (teritoriul comunei Chiajna (formularul menționează „zona Chiajna”)): zi 74 RON, lună 373 RON, an 3333 RON</t>
  </si>
  <si>
    <t>HCL Chiajna nr. 89/22.12.2025 privind aprobarea nivelurilor pentru valorile impozabile, impozitelor și taxelor locale și amenzile aplicabile în anul fiscal 2026, Anexa 1, Capitolul VIII „alte taxe locale”, alin. (2) „Taxa acces autovehicule cu masa mai mare de 7,5 tone”</t>
  </si>
  <si>
    <t>Cerere tip „Cerere pentru obținerea autorizației de acces a autovehiculelor - 7.5 tone” (Primăria Chiajna, secțiunea Cereri și formulare &gt; Impozite și taxe locale), cu: cerere, copie CI, copie talon, copie certificat înregistrare (CUI), dovada plății (nr./dată OP sau chitanță, sumă). Cererea cere motivul transportului/tranzitului, tipul mărfii și destinația. Formularul indică Birou Taxe și Impozite (financiar@primariachiajna.ro) și Registratura (registratura@primariachiajna.ro); canalul de depunere nu este scris explicit. Formular: https://primariachiajna.ro/wp-content/uploads/digitalizare/formulare/financiar/01.%20AUTORIZATIE%207.5%20TONE.pdf</t>
  </si>
  <si>
    <t>Primăria Comunei Chiajna, Str. Speranței nr. 1bis, sat Dudu, com. Chiajna; www.primariachiajna.ro; tel. 021 436 11 22 / 021 436 11 44; Birou Taxe și Impozite: financiar@primariachiajna.ro; Registratură: registratura@primariachiajna.ro; Poliția Locală Chiajna: pagină pe site (fără date proprii afișate)</t>
  </si>
  <si>
    <t>HCL 89/2025, confirmat. Camioanele obișnuite peste 40 t nu au clasă explicită.</t>
  </si>
  <si>
    <t>https://emol.ro/pluginfile.php/1/local_emol/documenthcl/86674/ANEXA%20HCL%2089%20din%202025.pdf</t>
  </si>
  <si>
    <t>Chitila</t>
  </si>
  <si>
    <t>neconfirmat</t>
  </si>
  <si>
    <t>3,5-7,5 t (străzi cu indicator de restricție 3,5 t): trecere 60 RON</t>
  </si>
  <si>
    <t>Proiect de HCL privind stabilirea nivelurilor impozitelor şi taxelor locale pentru anul 2026, Anexa nr. 2, pct. 7.9.1-7.9.5 (nivelurile 2025 au fost stabilite prin HCL nr. 184/2024)</t>
  </si>
  <si>
    <t>Nespecificat în document.</t>
  </si>
  <si>
    <t>Primăria Chitila, Str. Ion Olteanu nr. 6; tel. 021.436.37.09/11; primar@primariachitila.ro; primariachitila.ro; servicii online chitila.cityon.ro</t>
  </si>
  <si>
    <t>Doar proiectul HCL taxe 2026, per cursă. HCL adoptat necitit; lista străzilor lipsește.</t>
  </si>
  <si>
    <t>https://primariachitila.ro/new/wp-content/uploads/2025/11/Anunt-consultare-publica-la-proiectul-de-Hotarare-referitor-la-stabilirea-nivelurilor-impozitelor-si-taxelor-locale-pentru-anul-2026.pdf</t>
  </si>
  <si>
    <t>Ciolpani</t>
  </si>
  <si>
    <t>Primăria Ciolpani, Str. Școlii nr. 83; tel. 021 266 80 45 / 021 371 52 30; office@primariaciolpani.ro; https://primariaciolpani.ro</t>
  </si>
  <si>
    <t>https://primariaciolpani.ro/</t>
  </si>
  <si>
    <t>Ciorogârla</t>
  </si>
  <si>
    <t>Primăria Comunei Ciorogârla, Șos. București nr. 112; primariaciorogarla.ro; tel. 021 313 15 90; contact@primariaciorogarla.ro; MOL: https://emol.ro/ciorogarla-if/</t>
  </si>
  <si>
    <t>https://primariaciorogarla.ro/impozite-si-taxe-locale/</t>
  </si>
  <si>
    <t>Clinceni</t>
  </si>
  <si>
    <t>Primăria Comunei Clinceni, Str. Principală nr. 107A; primaria-clinceni.ro; tel. 0786 099 925; registratura@primaria-clinceni.ro; Taxe și impozite: 0760 626 236</t>
  </si>
  <si>
    <t>https://primaria-clinceni.ro/formulare/</t>
  </si>
  <si>
    <t>Copăceni</t>
  </si>
  <si>
    <t>Site primărie: www.primariacopaceni.ro (nu a putut fi accesat automat)</t>
  </si>
  <si>
    <t>Corbeanca</t>
  </si>
  <si>
    <t>3,5-5 t (nerezidenți) (străzile din Anexa A la Regulament): zi 100 RON, lună 1000 RON, an 3000 RON</t>
  </si>
  <si>
    <t>Regulament de instituire a taxei pentru eliberarea autorizației speciale, Anexa nr. 1 la HCL Corbeanca (număr și dată ilizibile în scan)</t>
  </si>
  <si>
    <t>Cerere tip la registratura Primăriei Corbeanca (nr. înmatriculare, tonaj, zona de acces) + copii certificat ONRC, certificat de înmatriculare, dovada plății; autorizația (ecuson netransferabil, cu zona și traseul obligatoriu pe verso) se ridică după 2 zile lucrătoare. Plată: PJ prin OP la Trezoreria Buftea; PF chitanță.</t>
  </si>
  <si>
    <t>Primăria Corbeanca, str. Independenței nr. 14, 077065; tel. 021-9991; https://pcc.ro. Poliția Locală Corbeanca, str. Independenței nr. 15; tel. +40 787 227 885 / 021-9991 int. 5; L-D 08:00-16:00</t>
  </si>
  <si>
    <t>Regulament vechi; din 2026 pare un regulament nou pentru peste 5 t, fără sume găsite.</t>
  </si>
  <si>
    <t>https://pcc.ro/acte/Taxa_masini_grele.pdf</t>
  </si>
  <si>
    <t>Cornetu</t>
  </si>
  <si>
    <t>Primăria Comunei Cornetu; www.primariacornetu.ro; tel. 021 468 92 20; primaria@primariacornetu.ro; Poliția Locală: 0752 175 175</t>
  </si>
  <si>
    <t>https://www.primariacornetu.ro/informatii-de-interes-public/formulare-tip/impozite-si-taxe-locale/</t>
  </si>
  <si>
    <t>Dascălu</t>
  </si>
  <si>
    <t>Dobroești</t>
  </si>
  <si>
    <t>Primăria Dobroești, Str. Cuza Vodă nr. 23, 077085; tel. 031 4055015; registratura@primariadobroesti.ro; taxe: taxesiimpozite@primariadobroesti.ro, 0770886340; www.primariadobroesti.ro</t>
  </si>
  <si>
    <t>https://www.ghiseul.ro/ghiseul/public/institutii/detalii?id_inst=4147</t>
  </si>
  <si>
    <t>Domnești</t>
  </si>
  <si>
    <t>HCL nr. 6/29.01.2026 (taxe speciale) verificat: nu conține taxă de acces</t>
  </si>
  <si>
    <t>Primăria Comunei Domnești, Șos. Alexandru Ioan Cuza nr. 25-27; www.primariadomnesti.ro; tel. 021 351 52 56; fax 037 445 13 90; primariadomnestiif@primariadomnesti.ro</t>
  </si>
  <si>
    <t>https://primariadomnesti.ro/wp-content/uploads/2026/02/HCL-6.pdf</t>
  </si>
  <si>
    <t>Dragomirești-Vale</t>
  </si>
  <si>
    <t>HCL nr. 56/30.12.2025 privind aprobarea taxelor și impozitelor locale pe anul 2026 (scanat, necitit)</t>
  </si>
  <si>
    <t>Primăria Comunei Dragomirești-Vale, Str. Micșunelelor nr. 87; primariadragomirestivale.ro; tel. 021 436 71 06; contact@primariadragomirestivale.ro</t>
  </si>
  <si>
    <t>HCL 56/2025 scanat: de citit manual.</t>
  </si>
  <si>
    <t>https://primariadragomirestivale.ro/wp-content/uploads/2026/01/HCL-56-din-30.12.2025.pdf</t>
  </si>
  <si>
    <t>Dărăști-Ilfov</t>
  </si>
  <si>
    <t>Primăria Comunei Dărăști-Ilfov; comunadarastiilfov.ro; tel. 021 369 20 21; primaria_darasti_ilfov@yahoo.com; MOL: https://emol.ro/darasti-ilfov-if/</t>
  </si>
  <si>
    <t>https://comunadarastiilfov.ro/categorie-document/taxe-si-impozite-locale/</t>
  </si>
  <si>
    <t>Glina</t>
  </si>
  <si>
    <t>Primăria Comunei Glina, Str. Libertății nr. 292; primaria-glina.ro; tel. (021) 467 12 14; fax (021) 467 11 98; contact@primaria-glina.ro</t>
  </si>
  <si>
    <t>https://primaria-glina.ro/hcl/hotarari-ale-consiliului-local-2025</t>
  </si>
  <si>
    <t>Gruiu</t>
  </si>
  <si>
    <t>Primăria Gruiu, Șos. Gruiu-Snagov nr. 152; tel. 021.350.80.08; fax 021.367.17.29; contact@primariagruiu.ro; www.primariagruiu.ro</t>
  </si>
  <si>
    <t>https://monitor.primariagruiu.ro/</t>
  </si>
  <si>
    <t>Grădiștea</t>
  </si>
  <si>
    <t>Găneasa</t>
  </si>
  <si>
    <t>Jilava</t>
  </si>
  <si>
    <t>Nu este citat pe pagină; există atașat documentul „Taxe acces 7, 5 tone.docx” cu taxele (necitit).</t>
  </si>
  <si>
    <t>Autorizațiile se eliberează de compartimentul avize, acorduri și autorizări al Primăriei Jilava. Cerere tip (http://primariajilava.ro/wp-content/uploads/2020/09/Model%20cerere%20autorizatie.doc). Cererile online plătite prin OP: plata în contul UAT Comuna Jilava (CUI 4420791, Trezoreria Operativă Ilfov), iar copia OP se trimite pe e-mail la primariajilava@primariajilava.ro pentru confirmare.</t>
  </si>
  <si>
    <t>Primăria Comunei Jilava, www.primariajilava.ro; tel. 021 457 01 15; fax 021 457 11 71; primariajilava@primariajilava.ro; MOL: https://jilava.regis-online.ro/monitorul-oficial-local</t>
  </si>
  <si>
    <t>Sistem de autorizare există (32 străzi la 7,5 t, 2 la 3,5 t), plata prin OP. Tarifele sunt într-un .docx necitit; regim din 2020.</t>
  </si>
  <si>
    <t>https://primariajilava.ro/autorizatii-transport-75-tone-si-35-tone/</t>
  </si>
  <si>
    <t>Moara Vlăsiei</t>
  </si>
  <si>
    <t>Mogoșoaia</t>
  </si>
  <si>
    <t>Site blocat. De sunat.</t>
  </si>
  <si>
    <t>https://primaria.mogosoaia.ro/</t>
  </si>
  <si>
    <t>Măgurele</t>
  </si>
  <si>
    <t>Pe site există formularul „Cerere autorizație tonaj” la secțiunea Poliția Locală (Cereri și formulare): https://primariamagurele.ro/wp-content/uploads/2026/07/cerere-autorizatie-tonaj.pdf (nu l-am putut deschide, robots.txt).</t>
  </si>
  <si>
    <t>Primăria Orașului Măgurele, Str. Călugăreni nr. 2-4; www.primariamagurele.ro; tel. (021) 457 40 98 / (021) 457 40 91; office@primariamagurele.ro; Poliția Locală Măgurele: (0733) 448 331</t>
  </si>
  <si>
    <t>Poliția Locală are formular „Cerere autorizație tonaj”. Tarifele negăsite (PDF-uri blocate).</t>
  </si>
  <si>
    <t>https://primariamagurele.ro/cereri-si-formulare</t>
  </si>
  <si>
    <t>Nuci</t>
  </si>
  <si>
    <t>Otopeni</t>
  </si>
  <si>
    <t>Primăria Otopeni, Str. 23 August nr. 10, 075100; tel. 0213.520.033 / (021) 352.00.33; secretariat@otopeniro.ro; www.otopeniro.ro</t>
  </si>
  <si>
    <t>HCL taxe scanat. Hub important: de sunat.</t>
  </si>
  <si>
    <t>https://www.otopeniro.ro/taxe-si-impozite-48</t>
  </si>
  <si>
    <t>Pantelimon</t>
  </si>
  <si>
    <t>Primăria Pantelimon, Str. Sfântul Gheorghe nr. 32; tel. 021 3502442 / 021 350.24.44 / 021 301.70.01; secretariat@primariapantelimon.ro; www.primariapantelimon.ro</t>
  </si>
  <si>
    <t>HCL taxe scanat; pe ghiseul.ro nu apare taxă de acces. De sunat.</t>
  </si>
  <si>
    <t>https://www.ghiseul.ro/ghiseul/public/institutii/detalii?id_inst=3447</t>
  </si>
  <si>
    <t>Periș</t>
  </si>
  <si>
    <t>Petrăchioaia</t>
  </si>
  <si>
    <t>Popești-Leordeni</t>
  </si>
  <si>
    <t>Site primărie: www.primariapopestileordeni.ro (nu a putut fi accesat automat)</t>
  </si>
  <si>
    <t>Site-ul primăriei blochează citirea automată. Hub important: de sunat.</t>
  </si>
  <si>
    <t>Snagov</t>
  </si>
  <si>
    <t>Tunari</t>
  </si>
  <si>
    <t>Primăria Tunari, Str. Mihai Eminescu nr. 1; tel. 021 267 53 10; contact@primaria-tunari.ro; https://v2.primaria-tunari.ro</t>
  </si>
  <si>
    <t>Site vechi blocat. De sunat.</t>
  </si>
  <si>
    <t>https://v2.primaria-tunari.ro/</t>
  </si>
  <si>
    <t>Vidra</t>
  </si>
  <si>
    <t>Anexa la HCL Vidra nr. 79/18.12.2025 (impozite și taxe locale 2026)</t>
  </si>
  <si>
    <t>Primăria Comunei Vidra, Str. Principală nr. 106; primaria-vidra.ro; tel. 021 361 22 65 / 021 361 22 66; fax 021 361 22 64; secretariat@primaria-vidra.ro; Poliția Vidra: 021 361 21 64</t>
  </si>
  <si>
    <t>https://primaria-vidra.ro/wp-content/uploads/2026/01/ANEXA-IMPOZITE-SI-TAXE-PT.ANUL-2022-VIDRA-mod.cu-directiva-27-noi-2025-conv.pdf</t>
  </si>
  <si>
    <t>Voluntari</t>
  </si>
  <si>
    <t>5-7,5 t (oraș Voluntari): zi 35 RON, săptămână 140 RON, lună 350 RON</t>
  </si>
  <si>
    <t>HCL Voluntari nr. 71/2013, art. 8 alin. (1)</t>
  </si>
  <si>
    <t>Autorizație de circulație (tonaj) eliberată prin Poliția Locală Voluntari. Acte: copie ordin de plată/chitanță, copie C.U.I. firmă, copie C.I. împuternicit, copie carte de identitate/certificat de înmatriculare vehicul.</t>
  </si>
  <si>
    <t>Poliția Locală Voluntari, B-dul Voluntari (fosta Șos. Afumați) nr. 74, Voluntari; tel. 031/437.05.96, fax 031/437.05.95; dispecerat 24/24 0754.079.423, 031/437.05.97; politia-locala@primaria-voluntari.ro; www.politialocalavoluntari.ro</t>
  </si>
  <si>
    <t>Valori din 2013, tabel Poliția Locală. Neclar dacă se aplică pe tot orașul sau doar pe str. Emil Racoviță și Popasului; neclar dacă au fost indexate.</t>
  </si>
  <si>
    <t>https://www.politialocalavoluntari.ro/uploads/article/description/tabel_taxe_autovehicule_grele.pdf</t>
  </si>
  <si>
    <t>Ștefăneștii de Jos</t>
  </si>
  <si>
    <t>Site blocat. Hub important: de sunat.</t>
  </si>
  <si>
    <t>https://emol.ro/stefanestiidejos-if/HAD/</t>
  </si>
  <si>
    <t>Alba</t>
  </si>
  <si>
    <t>Alba Iulia</t>
  </si>
  <si>
    <t>autocamion/autoutilitară/cap tractor/utilaj autopropulsat, 5-7,5 t (Zona 0): zi 71 RON, lună 549 RON</t>
  </si>
  <si>
    <t>HCL Alba Iulia nr. 354/2016, modificată prin HCL nr. 341/2020; Regulament de organizare a transportului de mărfuri și a circulației utilajelor (versiunea 04.06.2019); tarife 2026 (act negăsit)</t>
  </si>
  <si>
    <t>Cerere tip (Anexa 2 la Regulamentul de organizare a transportului de mărfuri și a circulației utilajelor) + copie certificat înmatriculare/CI + dovada plății, la registratura Primăriei sau online (secțiunea Servicii Online a primăriei); dacă aplicația nu funcționează, e-mail la accesauto@apulum.ro (după știrea din 2021). Plata: ghiseul.ro, internet banking, ordin de plată către CUI 4562923 cu mențiunea „Autorizație trafic greu”, mandat poștal, card sau numerar la Direcția Venituri.</t>
  </si>
  <si>
    <t>Primăria Municipiului Alba Iulia, Direcția Venituri; e-mail accesauto@apulum.ro (din știrea alba24.ro din 2021, neconfirmat). Adresă/telefon dedicat negăsite.</t>
  </si>
  <si>
    <t>https://www.bursatransport.com/info/access/viewarticle/slug/taxe-acces-alba-iulia</t>
  </si>
  <si>
    <t>Arad</t>
  </si>
  <si>
    <t>peste 3,5 t până la 7,5 t inclusiv (Zona A): zi 50 RON, lună 200 RON</t>
  </si>
  <si>
    <t>HCLM 303/30.09.2016, modificat prin HCLM 118/13.04.2017, 201/14.06.2017, 221/22.05.2018, 462/04.12.2018, 592/08.11.2022; Anexa 2 Tarife</t>
  </si>
  <si>
    <t>Autorizație de o zi online: https://globalpay.ro/arad/eAccesAuto/public/Autorizatii/adaugare. Cerere la primărie (formular «CERERE DE ACCES TRAFIC GREU»: https://www.primariaarad.ro/dm_arad/portal.nsf/A17E71D55B822EDEC22587E400376BF9/$FILE/Formular%20-%20CERERE%20DE%20ACCES%20TRAFIC%20GREU%20.pdf?Open). Asistență la sediu L-Mi 8:30-15:30, J 8:30-17:30, V 8:30-14:00.</t>
  </si>
  <si>
    <t>Primăria Municipiului Arad, Bd. Revoluției nr. 75, 310130; autorizatiiacces@primariaarad.ro; 0257 281 850 int. 705</t>
  </si>
  <si>
    <t>https://www.primariaarad.ro/dm_arad/portal.nsf/B0DA7398D8C2C24CC22588FB002A93A9/$FILE/tarife%20trafic%20greu.pdf?Open</t>
  </si>
  <si>
    <t>Argeș</t>
  </si>
  <si>
    <t>Pitești</t>
  </si>
  <si>
    <t>Negăsit</t>
  </si>
  <si>
    <t>Formulare 2026 «Cerere obținere ACORD DE CIRCULAȚIE» PJ/PF: https://www.primariapitesti.ro/uploads/pages/files/01._2026_Cerere_obtinere_ACORD_DE_CIRCULATIE_-_PJ2.doc (conținut nelizibil automat)</t>
  </si>
  <si>
    <t>Primăria Municipiului Pitești, Compartimentul Tehnic, Transport Local și Protecția Mediului, Str. Victoriei nr. 24, 110017; tehnic@primariapitesti.ro; 0248-984</t>
  </si>
  <si>
    <t>Există formular „acord de circulație” 2026, necitit.</t>
  </si>
  <si>
    <t>https://www.primariapitesti.ro/compartimentul-tehnic-transport-local-si-protectia-mediului-p489</t>
  </si>
  <si>
    <t>Bacău</t>
  </si>
  <si>
    <t>Negăsit (taxe locale 2026: HCL 553/19.12.2025 și HCL 592/23.12.2025, necitite integral)</t>
  </si>
  <si>
    <t>Primăria Municipiului Bacău, contactprimarie@primariabacau.ro, 0234 581 849; Comisia de circulație: comisiadecirculatie@primariabacau.ro</t>
  </si>
  <si>
    <t>Pagina de taxe 2026 nu menționează taxă de acces; HCL-urile necitite integral.</t>
  </si>
  <si>
    <t>https://taxe.municipiulbacau.ro/calcul-taxe-locale-2026/</t>
  </si>
  <si>
    <t>Bihor</t>
  </si>
  <si>
    <t>Oradea</t>
  </si>
  <si>
    <t>autovehicule de trafic greu (prag de tonaj nespecificat în anexă) (Zona A (zonă cu restricții pentru trafic greu)): zi 50 RON, lună 400 RON, an 2000 RON</t>
  </si>
  <si>
    <t>HCL 854/2025 privind stabilirea impozitelor, taxelor și tarifelor locale pentru 2026, Anexa nr. 9 «TAXA LOCALĂ DE TRAFIC GREU» (Direcția Logistică)</t>
  </si>
  <si>
    <t>Online pe https://globalpay.ro/oradea/eAccesAuto/public/Autorizatii/adaugare (date vehicul, perioadă, zone; plată cu cardul fără comision); autorizație de 12 ore prin SMS.</t>
  </si>
  <si>
    <t>Primăria Municipiului Oradea, Piața Unirii nr. 1, 410100; 0259 437 000. Suport plăți GlobalPay: 0758-463326, info@globalpay.ro</t>
  </si>
  <si>
    <t>https://oradea.ro/wp-content/uploads/2026/02/HCL-854_25.pdf</t>
  </si>
  <si>
    <t>Bistrița-Năsăud</t>
  </si>
  <si>
    <t>Bistrița</t>
  </si>
  <si>
    <t>2,5-3,5 t (program noapte) (Zonele A și B cu restricție de tonaj): zi 100 RON, lună 50 RON, an 150 RON</t>
  </si>
  <si>
    <t>HCL Bistrița nr. 61/26.06.2014 privind aprobarea Regulamentului pentru eliberarea și folosirea autorizațiilor de liberă trecere; zona pietonală: HCL 119/2006; tarife 2026 (act negăsit)</t>
  </si>
  <si>
    <t>Cerere tip pentru eliberare permis de liberă trecere + copie certificat înmatriculare/CIV + copie certificat ONRC sau certificat de înregistrare fiscală. Plata: online GlobalPay https://www.globalpay.ro/bistrita/eAccesAuto/public/Autorizatii/adaugare, ghiseul.ro sau numerar la Direcția Venituri.</t>
  </si>
  <si>
    <t>Primăria Municipiului Bistrița: birou public str. Alexandru Odobescu nr. 17A (L, Mi 08:00-14:00; Ma, J 08:00-14:00 și 15:00-18:00; V 08:00-12:00); casierie str. Gheorghe Șincai nr. 2; tel. 0263/239070, 0756/222040 (sursă secundară). Control: Poliția Locală Bistrița.</t>
  </si>
  <si>
    <t>https://www.bursatransport.com/info/access/viewarticle/slug/taxe-acces-bistrita ; https://www.primariabistrita.ro/h-c-l-61-2014/</t>
  </si>
  <si>
    <t>Botoșani</t>
  </si>
  <si>
    <t>peste 3,5 t până la 5,5 t inclusiv (Zona restricționată (interiorul centurii stradale)): zi 4.2 RON</t>
  </si>
  <si>
    <t>HCL Botoșani nr. 602/23.12.2025 (impozite și taxe locale 2026), Anexa nr. 1 pct. 19.8; Regulament circulație: HCL nr. 70/31.03.2011, Anexa 1 art. 6 și Anexa 2</t>
  </si>
  <si>
    <t>Autorizație de acces liber eliberată de Primăria Municipiului Botoșani (formular Anexa 2A): cerere cu tip vehicul, marcă, nr. înmatriculare, străzile solicitate, natura transportului; copie certificat înmatriculare și cod fiscal/CI; certificat fiscal; dovada plății. Plata: numerar la Direcția Taxe și Impozite Locale, virament (preferat pentru transportatori nerezidenți) sau ghiseul.ro (cu cont obținut de la Primărie).</t>
  </si>
  <si>
    <t>Primăria Municipiului Botoșani / Direcția Taxe și Impozite Locale, Calea Națională nr. 70, 710028 Botoșani, tel. 0231.582.523, 0331.711.751, 0372.316.731, fax 0231.582.513, e-mail primaria@primariabt.ro (date de contact din sursă secundară)</t>
  </si>
  <si>
    <t>https://primariabt.ro/wp-content/uploads/formidable/9/602_25.pdf ; https://www.primariabt.ro/hotarari/anexe/phpP3naEe.pdf</t>
  </si>
  <si>
    <t>Brașov</t>
  </si>
  <si>
    <t>peste 3,5 t (Municipiul Brașov - străzi cu restricții (program de noapte)): lună 611 RON, an 4877 RON</t>
  </si>
  <si>
    <t>HCL 779/2021 (Regulament permise de liberă trecere, republicare Anexa 1 la HCL 243/2005); tarife 2025: HCL 210/25.04.2024; tarife 2026: HCL 222/2025</t>
  </si>
  <si>
    <t>Online pe https://serviciielectronice.brasovcity.ro (Transport → Eliberare Permis de Liberă Trecere), plată cu cardul, OP sau ghiseul.ro; permisele zilnice la Centrul de Informații pentru Cetățeni (ghișeele 8-11). Documente: cerere (motiv, durată, MTMA, trasee, marfă, program zi/noapte), copie certificat de înmatriculare, copie certificat de înregistrare firmă, alte acte după caz. Zona Centrală zilnic: cerere cu minimum 24 h înainte.</t>
  </si>
  <si>
    <t>Primăria Municipiului Brașov, Centrul de Informații pentru Cetățeni, cicbv@brasovcity.ro; Call Center 0268 405000</t>
  </si>
  <si>
    <t>Valori 2025 (HCL 779/2021 + 210/2024); taxele 2026 (HCL 222/2025) scanate.</t>
  </si>
  <si>
    <t>https://serviciielectronice.brasovcity.ro/cmsSE/media/documente_pdf/TAXE%20LT_2025.pdf</t>
  </si>
  <si>
    <t>Brăila</t>
  </si>
  <si>
    <t>3,5 t - 5 t inclusiv (Municipiul Brăila - străzi cu restricție de tonaj): zi 60 RON, lună 225 RON, an 1990 RON</t>
  </si>
  <si>
    <t>H.C.L.M. nr. 292/29.05.2025 (Regulament privind eliberarea și utilizarea permiselor de acces auto P.AA); tarife: H.C.L.M. nr. 716/29.12.2025, Anexa nr. 1 «Alte taxe locale»</t>
  </si>
  <si>
    <t>Plată pe ghiseul.ro fără autentificare: județ Brăila, instituția taxe și impozite locale Brăila, tip taxă «Alte venituri - Taxă liberă trecere»; în detalii numărul de înmatriculare și ziua. Dovada plății se păstrează în vehicul. Ghid: https://www.primariabraila.ro/wp-content/uploads/2018/taxe%20online/plata%20taxa%20tonaj/trafic_greu_2022.pdf</t>
  </si>
  <si>
    <t>Primăria Municipiului Brăila, tel. 0239 607 468 (pagina Taxa tonaj)</t>
  </si>
  <si>
    <t>https://www.primariabraila.ro/wp-content/uploads/2018/taxe online/plata taxa tonaj/hclm 716_2025.pdf</t>
  </si>
  <si>
    <t>Buzău</t>
  </si>
  <si>
    <t>7,5-12,0 t (Raza municipiului Buzău): zi 87 RON, lună 428 RON, an 3845 RON</t>
  </si>
  <si>
    <t>HCL Buzău nr. 172/2016 privind stabilirea unor limite de circulație pentru vehiculele de transport marfă (abrogă HCL 20/2007, 227/2007, 281/2007, 102/2010, 24/2014); tarife 2026 indexate prin HCL nr. 244/29.12.2025 (impozite și taxe locale 2026), modificată prin HCL 18/2026 și HCL 34/2026 (necitite, PDF scanat)</t>
  </si>
  <si>
    <t>Permis de liberă trecere eliberat de Serviciul Gospodărie Urbană și Protecția Mediului (Primăria Buzău); taxa se încasează de Direcția Economică / Direcția Finanțe Publice Locale: online pe ghiseul.ro, numerar la Piața Daciei nr. 1 (Palatul Comunal), sau prin virament (conturi IBAN pe https://primariabuzau.ro/plata-taxe-si-impozite/, poziția „Taxă acces în oraș / utilizare drumuri publice / taxă liberă trecere &gt;12T”).</t>
  </si>
  <si>
    <t>Primăria Municipiului Buzău, Direcția Finanțe Publice Locale, Piața Daciei nr. 1 (Palatul Comunal); casierie L, Ma, J 08:00-16:00, Mi 08:00-18:00, V 08:00-13:30 (sursă secundară). Control: Poliția Locală Buzău.</t>
  </si>
  <si>
    <t>https://www.bursatransport.com/info/access/viewarticle/slug/taxe-acces-buzau ; http://www.primariabuzau.ro/UserFiles/File/hot_propuneri/Proiect_Stabilire_limite_circulatie.pdf</t>
  </si>
  <si>
    <t>Caraș-Severin</t>
  </si>
  <si>
    <t>Reșița</t>
  </si>
  <si>
    <t>negăsit</t>
  </si>
  <si>
    <t>„Autorizație liber acces” pentru trafic greu: cerere online pe portalul de servicii electronice (buton „Solicită online”); acte necesare: cerere tip; cartea de identitate sau certificatul de înmatriculare al autovehiculului.</t>
  </si>
  <si>
    <t>Primăria Municipiului Reșița (date de contact neextrase; pagina instituției blochează citirea automată)</t>
  </si>
  <si>
    <t>Autorizație liber acces peste 7,5 t, online; tarif negăsit.</t>
  </si>
  <si>
    <t>https://se.primariaresita.ro/cmsSE/acte-necesare-primaria-resita/autorizatie-liber-acces</t>
  </si>
  <si>
    <t>Cluj</t>
  </si>
  <si>
    <t>Cluj-Napoca</t>
  </si>
  <si>
    <t>7,5 t (exemplul din presă; clasa exactă din HCL negăsită) (Municipiul Cluj-Napoca, în afara Zonei 0): zi 14 RON, lună 140 RON, an 700 RON</t>
  </si>
  <si>
    <t>HCL 484/2011 privind reglementarea aprovizionării și circulației autovehiculelor în Cluj-Napoca, modificată prin HCL 491/2025 și printr-o hotărâre din august 2025 (număr negăsit); interdicția de tranzit votată în ședința extraordinară din 15.07.2025 (număr HCL negăsit)</t>
  </si>
  <si>
    <t>Online, doar autorizație de o zi: https://e-primariaclujnapoca.ro/plationline_v2/_autlib/ (opțiuni: «Zona 0» / «Fara zona 0»; «Noapte 21:00-7:00» / «Zi 00:00-24:00»; un singur număr de înmatriculare, fără remorci). Cereri online: https://e-primariaclujnapoca.ro/registratura/cereri/ sau la registratura primăriei. Formulare PDF: https://files.primariaclujnapoca.ro/2023/07/25/446003-AUTORIZATIE-DE-LIBERA-TRECERE-PESTE-35T.pdf și https://files.primariaclujnapoca.ro/2023/07/25/446004-AUTORIZATIE-LIBERA-TRECERE-ZONA-0.pdf</t>
  </si>
  <si>
    <t>Primăria Cluj-Napoca, Serviciul Siguranța Circulației, Str. Moților nr. 3, cam. 24 și 25, 400001 Cluj-Napoca; tel. 0264 596 030 int. 4460, 4462; registratura@primariaclujnapoca.ro</t>
  </si>
  <si>
    <t>Sume doar din presă; Zona 0 interzisă 07-09 și 13-18 peste 3,5 t; tranzit peste 7,5 t interzis din 2025. Plata online e-primariaclujnapoca.ro.</t>
  </si>
  <si>
    <t>https://actualdecluj.ro/interdictia-de-a-circula-prin-cluj-napoca-pentru-traficul-greu-de-trazit-intra-in-vigoare-la-finalul-saptamanii-explicatiile-primarului-emil-boc/</t>
  </si>
  <si>
    <t>Constanța</t>
  </si>
  <si>
    <t>HCL negăsit (hotărârea anuală de taxe locale nu a fost localizată)</t>
  </si>
  <si>
    <t>Online pe spit-ct.ro (Servicii online / Plata amenzi/alte taxe, autorizația vine pe email); numerar la Westaco Express în benzinăriile OMV Petrom din Constanța; OP (eliberare la ghișeele SPIT); ghișeele SPIT. Verificare: https://etax.spit-ct.ro/Autentificare.aspx#tabAutorizatieCirculatie</t>
  </si>
  <si>
    <t>Serviciul Public de Impozite, Taxe și Alte Venituri ale Bugetului Local Constanța (SPIT), office@spit-ct.ro, 0241 488 550</t>
  </si>
  <si>
    <t>Taxă lunară pe tonaj, -10% la plata anuală; HCL și sume negăsite.</t>
  </si>
  <si>
    <t>https://www.spit-ct.ro/obligatii-fiscale-persoane-juridice/</t>
  </si>
  <si>
    <t>Covasna</t>
  </si>
  <si>
    <t>Sfântu Gheorghe</t>
  </si>
  <si>
    <t>3,5 - 7,5 t (autorizație specială transport) (Municipiul Sfântu Gheorghe): zi 20 RON, lună 100 RON, abonament 200 RON</t>
  </si>
  <si>
    <t>HCL nr. 297/2024 (Regulament privind parcarea, accesul și circulația autovehiculelor peste 3,5 t care transportă mărfuri), cu modificările ulterioare, ultima citită: HCL nr. 416/2025</t>
  </si>
  <si>
    <t>Cerere de „autorizație de liberă trecere” (formular octombrie 2025) depusă la registratura Primăriei sau la petitii@sepsi.ro; date cerute: nume, domiciliu, serie și nr. CI, denumire firmă, sediu, CUI, nr. înmatriculare, tonaj, data/perioada, traseu, tip marfă, telefon. Emite: Direcția generală de gospodărire comunală. Plata: numerar la Direcția generală economică și fiscală sau la Compartimentul relații cu publicul, informații, registratură, ori prin virament: Trezoreria Mun. Sfântu Gheorghe, CUI 4404605, cont RO14TREZ25621360206XXXXX (parțial mascat), beneficiar Municipiul Sfântu Gheorghe.</t>
  </si>
  <si>
    <t>Primăria Municipiului Sfântu Gheorghe - Direcția generală de gospodărire comunală; petitii@sepsi.ro; registratura primăriei (adresa și telefonul nu apar în sursele citite)</t>
  </si>
  <si>
    <t>Tabelul și textul articolului se contrazic la prima clasă și durată.</t>
  </si>
  <si>
    <t>https://sfantugheorgheinfo.ro/uploads/hcl-416-anexa-1760604306.pdf ; https://sepsiszentgyorgyinfo.ro/uploads/cerere-autorizatie-de-libera-trecere-octombrie-2025-mun-sfantu-gheorghe-web-1763039542.pdf</t>
  </si>
  <si>
    <t>Călărași</t>
  </si>
  <si>
    <t>Primăria Municipiului Călărași, Str. București nr. 140A, 910058 Călărași; tel. 0242 311 005 / 0242 318 574; office@primariacalarasi.ro; L-J 08:00-16:30, V 08:00-14:00. Direcția Poliția Locală: https://dplc.primariacalarasi.ro/</t>
  </si>
  <si>
    <t>https://primariacalarasi.ro/directiile-primariei/transport-public-local/</t>
  </si>
  <si>
    <t>Dolj</t>
  </si>
  <si>
    <t>Craiova</t>
  </si>
  <si>
    <t>Nicio taxă de acces/liberă trecere în HCL 496/2025 (taxe locale 2026)</t>
  </si>
  <si>
    <t>Primăria Municipiului Craiova, Str. A.I. Cuza nr. 7, 200585 Craiova; 0251 416 235; relatiicupublicul@primariacraiova.ro</t>
  </si>
  <si>
    <t>HCL taxe 2026 (496/2025) nu conține taxă de acces pe tonaj.</t>
  </si>
  <si>
    <t>https://www.primariacraiova.ro/ro/info/695f66f69d9cc811193031.pdf</t>
  </si>
  <si>
    <t>Dâmbovița</t>
  </si>
  <si>
    <t>Târgoviște</t>
  </si>
  <si>
    <t>3,5-7,5 t (Raza municipiului Târgoviște (în afara drumurilor de centură)): zi 78 RON, lună 788 RON</t>
  </si>
  <si>
    <t>HCL Târgoviște nr. 407/29.11.2024 (regulament circulație vehicule peste 3,5 t); tarife indexate anual (2025 cu 10,4%); tarife 2026 (act negăsit)</t>
  </si>
  <si>
    <t>Lunar: cerere prin e-mail la dappp_contracteautorizatii@pmtgv.ro sau la sediul Direcției de Administrare a Patrimoniului Public și Privat (DAPPP), Compartiment Autorizații, str. Revoluției nr. 2-5, cu copie talon; plata prin virament către Municipiul Târgoviște, CF 4279944 (dovada se trimite pe e-mail) sau numerar la casieria DAPPP. Zilnic: tichete de liberă trecere la stațiile OMV/Petrom de la intrările în oraș.</t>
  </si>
  <si>
    <t>Primăria Municipiului Târgoviște, DAPPP - Compartiment Autorizații, str. Revoluției nr. 2-5, e-mail dappp_contracteautorizatii@pmtgv.ro; tel. 0245611222 int. 315, mobil 0735888529, fax 0245210670 (telefoanele din sursă secundară)</t>
  </si>
  <si>
    <t>https://www.pmtgv.ro/DAPPP/2025/INFORMARE%20%20PRIVIND%20TRANZITUL%20PRIN%20MUN%20TARGOVISTE%20SI%20TAXE%20LIBERA%20TRECERE%20PE%20ANUL%202025%20.pdf ; https://pmtgv.ro/MonitorPMT/Hotarari/2024/HCL%20407/Anexa.pdf ; https://www.bursatransport.com/info/access/viewarticle/slug/taxe-acces-targoviste</t>
  </si>
  <si>
    <t>Galați</t>
  </si>
  <si>
    <t>Regulament cu privire la circulația autovehiculelor și utilajelor cu MTMA mai mare de 3,5 tone în municipiul Galați și eliberarea Permiselor de Liberă Trecere (Anexa nr. 1; numărul HCL neindicat în document, fișier reg_auto2014)</t>
  </si>
  <si>
    <t>Cerere (Anexa 4) la Primăria Municipiului Galați: denumire și sediu firmă, punct de lucru, motive, trasee, perioadă, copie certificat de înmatriculare. PLT netransmisibil, pe un singur număr de înmatriculare. Pentru agabaritice: Autorizație Specială de Transport (Anexa 6).</t>
  </si>
  <si>
    <t>Primăria Municipiului Galați, Str. Domnească nr. 38; emitent PLT: Serviciul Construcții, Dezvoltare și Întreținere Străzi. Telefon/email negăsit.</t>
  </si>
  <si>
    <t>Regulament 2014: 5 străzi interzise peste 3,5 t; sume negăsite.</t>
  </si>
  <si>
    <t>https://www.primariagalati.ro/portal/act/reg_auto2014.pdf</t>
  </si>
  <si>
    <t>Giurgiu</t>
  </si>
  <si>
    <t>7,5 - 15 tone (Străzi cu restricție de tonaj din municipiul Giurgiu (semnalizate)): zi 60 RON, lună 700 RON</t>
  </si>
  <si>
    <t>neidentificat (anunțul din 2017 nu indică numărul HCL)</t>
  </si>
  <si>
    <t>Plată online prin operatori economici / instituții de plată autorizate; la stațiile OMV Autostrada (Vânătorii Mici, sat Izvoru), OMV 1 Giurgiu (B-dul București nr. 76), Petrom 3 Giurgiu (B-dul București nr. 86); direct la Direcția de Impozite și Taxe Giurgiu, Șos. Alexandriei nr. 7, bl. G2, sau prin virament în contul trezoreriei (parțial mascat în sursă); la agenți economici contractați de primărie.</t>
  </si>
  <si>
    <t>Primăria Municipiului Giurgiu, Direcția Servicii Publice - Compartiment Licențe Transport, Sistematizarea Circulației, Parc Auto și Trafic Greu, B-dul București nr. 49-51, Giurgiu; tel. 0246 213 587 / 0246 213 588 (int. 188, 260); primarie@primariagiurgiu.ro; L-J 08:00-16:30, V 08:00-14:00</t>
  </si>
  <si>
    <t>Anunț din 2017 fără număr HCL; nicio actualizare găsită.</t>
  </si>
  <si>
    <t>https://primariagiurgiu.ro/2017/05/taxa-speciala-de-libera-trecere-pentru-autovehiculele-cu-masa-mai-mare-de-75-tone-obligatorie-de-la-1-iunie/</t>
  </si>
  <si>
    <t>Gorj</t>
  </si>
  <si>
    <t>Târgu Jiu</t>
  </si>
  <si>
    <t>Primăria Municipiului Târgu Jiu (contact nevalidat în această cercetare)</t>
  </si>
  <si>
    <t>https://www.targujiu.ro/</t>
  </si>
  <si>
    <t>Harghita</t>
  </si>
  <si>
    <t>Miercurea Ciuc</t>
  </si>
  <si>
    <t>3,5 - 7,5 tone (Zona centrală și zonele rezidențiale): zi 50 RON, lună 600 RON</t>
  </si>
  <si>
    <t>HCL nr. 49/31.03.2006 (în vigoare de la 01.07.2006)</t>
  </si>
  <si>
    <t>Conform HCL 49/2006: cerere (formular bilingv, anexa 7) la Serviciul de administrare a domeniului și patrimoniului public, Piața Cetății nr. 1, sau la registratura primăriei, cu dovada plății, certificatul de înmatriculare și actul de identitate (copii acceptate); originalul autorizației se afișează vizibil în vehicul. Pagina actuală „Relații cu publicul”: autorizația de liberă trecere se solicită exclusiv online, prin e-mail, la Serviciul de gospodărire.</t>
  </si>
  <si>
    <t>Primăria Municipiului Miercurea Ciuc, Str. Mihai Eminescu nr. 3A; tel. 0266 315120; primaria@miercureaciuc.ro; Serviciul de gospodărire: Centrul Cultural „Márton Áron”, parter, tel. 0266 315120 int. 248, program zilnic 08:00-13:00</t>
  </si>
  <si>
    <t>Tarife din 2006, posibil neactualizate; 50 lei/zi apare tipărit „5O”.</t>
  </si>
  <si>
    <t>https://miercureaciuc.ro/ro/hotarari/2006/hotararea-nr-49/160 ; https://miercureaciuc.ro/ro/relatii-cu-publicul</t>
  </si>
  <si>
    <t>Hunedoara</t>
  </si>
  <si>
    <t>Deva</t>
  </si>
  <si>
    <t>Cat. 1: 3,5 tone - 7,5 tone (inclusiv) (Raza municipiului Deva): zi 25 RON, lună 250 RON, an 2000 RON</t>
  </si>
  <si>
    <t>HCL nr. 120/2019 (citat pe platforma autorizatii-tonaj.primariadeva.ro: tarife „conform HCL nr.120/2019”; textul hotărârii nu a fost citit)</t>
  </si>
  <si>
    <t>Online, cu plata cu cardul: https://autorizatii-tonaj.primariadeva.ro ; la sediul Primăriei Deva, Camera 24, parter (plata cu cardul); prin ordin de plată în contul de trezorerie indicat în anunțul primăriei (RO94TREZ36621360250XXXXX, parțial mascat în sursă). Autorizația zilnică pentru categoriile 1 și 2 se poate cumpăra și prin SMS.</t>
  </si>
  <si>
    <t>Primăria Municipiului Deva, Piața Unirii nr. 4, 330152 Deva; tel. 0254 213435 / 232310 / 218579 / 234651 / 218325; fax 0254 226176; primar@primariadeva.ro; program (conform platformei) L-V 08:00-16:00</t>
  </si>
  <si>
    <t>https://autorizatii-tonaj.primariadeva.ro/ ; https://www.primariadeva.ro/images/uploads/documente/Modalitati_aut_tonaj.pdf ; https://www.primariadeva.ro/index.php/servicii_publice/detaliu/1115</t>
  </si>
  <si>
    <t>Ialomița</t>
  </si>
  <si>
    <t>Slobozia</t>
  </si>
  <si>
    <t>Primăria Municipiului Slobozia (contact nevalidat în această cercetare)</t>
  </si>
  <si>
    <t>https://www.sloboziail.ro/</t>
  </si>
  <si>
    <t>Iași</t>
  </si>
  <si>
    <t>3,5 - 12 t inclusiv (Municipiul Iași (zona centrală și zona a II-a)): zi 43 RON</t>
  </si>
  <si>
    <t>HCL negăsit</t>
  </si>
  <si>
    <t>Permis Liberă Trecere emis de Primăria Iași (aplicație web pe site-ul primăriei, comandată în 2020). Canal exact pentru taxa locală curentă neconfirmat.</t>
  </si>
  <si>
    <t>Primăria Municipiului Iași, Bd. Ștefan cel Mare și Sfânt nr. 11; liberatrecere@primaria-iasi.ro (adresă din proiectul de regulament 2025)</t>
  </si>
  <si>
    <t>Presa se contrazice (43-140 lei/zi); HCL negăsit.</t>
  </si>
  <si>
    <t>https://www.bzi.ro/transportatorii-de-marfuri-au-intrat-in-atentia-politistilor-s-au-facut-verificari-pe-mai-multe-strazi-din-oras-5326261</t>
  </si>
  <si>
    <t>Maramureș</t>
  </si>
  <si>
    <t>Baia Mare</t>
  </si>
  <si>
    <t>4,5-7,5 t inclusiv (Zona A (centrul istoric)): zi 50 RON, lună 350 RON, an 3200 RON</t>
  </si>
  <si>
    <t>HCL Baia Mare nr. 28/2018 (zone A și B, Anexele 1 și 2); tarife 2026 conform HCL privind impozitele și taxele locale (număr negăsit)</t>
  </si>
  <si>
    <t>Online cu cardul pe GlobalPay https://www.globalpay.ro/baiamare/eAccesAuto/public/Autorizatii/adaugare (24/7, autorizația se emite după validarea tranzacției) sau numerar la casieria Primăriei, str. Gheorghe Șincai nr. 37, L-V 08:00-15:00. Pentru str. Industriei, Minerilor, Victoriei și bd. Independenței (Zona B) autorizațiile NU se emit online, doar la Primărie.</t>
  </si>
  <si>
    <t>Primăria Municipiului Baia Mare, str. Gheorghe Șincai nr. 37; asistență Primărie pentru autorizații: 0372-624143, 0372-624133 (L-V 08:00-15:00), conform paginii GlobalPay.</t>
  </si>
  <si>
    <t>https://www.bursatransport.com/info/access/viewarticle/slug/taxe-acces-baia-mare ; https://www.baiamare.ro/Baiamare/Consiliu%20local/HCL/an%202018/30%20ianuarie/hot28_18%20TONAJ%20ANEXA%201%20si%202%20%20HCL%20tonaj%2005.12.2017.pdf</t>
  </si>
  <si>
    <t>Mehedinți</t>
  </si>
  <si>
    <t>Drobeta-Turnu Severin</t>
  </si>
  <si>
    <t>3,5-7,5 t (Zona centrală): zi 45 RON, lună 75 RON</t>
  </si>
  <si>
    <t>HCL Drobeta-Turnu Severin nr. 72/2014; tarife 2026 (act negăsit)</t>
  </si>
  <si>
    <t>Permise de liberă trecere eliberate de Serviciul Comercial al Primăriei Drobeta-Turnu Severin, pe bază de documentație. Plata: la stațiile de carburant de la intrarea în oraș (cel mai uzual) sau numerar la Direcția de Impozite și Taxe Locale.</t>
  </si>
  <si>
    <t>Primăria Municipiului Drobeta-Turnu Severin, str. Mareșal Alexandru Averescu nr. 2, tel. 0252 314 379, primaria@primariadrobeta.ro; Direcția Impozite și Taxe Locale, tel. 0252 313 698, ditl@primariadrobeta.ro</t>
  </si>
  <si>
    <t>https://www.bursatransport.com/info/access/viewarticle/slug/taxe-acces-drobeta-turnu-severin</t>
  </si>
  <si>
    <t>Mureș</t>
  </si>
  <si>
    <t>Târgu Mureș</t>
  </si>
  <si>
    <t>sub 20 t (autovehicule sau ansambluri) (Străzi cu restricții de tonaj pe raza municipiului): zi 89 RON</t>
  </si>
  <si>
    <t>HCL Târgu Mureș nr. 303/23.12.2025 (taxe speciale și tarife; anterior HCL 318/19.12.2024 pentru 2025, HCL 481/2022 pentru 2023)</t>
  </si>
  <si>
    <t>Platformă online https://trafic.adptgmures.ro (cont necesar, înregistrare la /inregistrare) sau cerere tipizată (https://www.tirgumures.ro/dlonline/Formulare%20ONLINE/Serviciul%20Administratia%20Domeniului%20Public/Cerere%20eliberare%20AUTORIZATIE%20DE%20LIBERA%20TRECERE.pdf) cu: categorie vehicul, nr. înmatriculare, MTMA, traseu (plecare/retur), perioadă; copie certificat de înmatriculare sau CIV. Plata: numerar la ADP (str. Kos Karoly nr. 1B) sau virament către Municipiul Târgu Mureș, CUI 4322823, mențiunea „contravaloare autorizație liberă trecere”, apoi dovada se trimite prin e-mail. Nu se emit autorizații retroactiv.</t>
  </si>
  <si>
    <t>Administrația Domeniului Public Târgu Mureș (Serviciul Rutier / Serviciul Siguranța Circulației, Transport Rutier și Transport Local), str. Kos Karoly nr. 1/B, tel. 0365-807.872, fax 0365-807.873, e-mail adp@tirgumures.ro (https://adptgmures.ro/contact/)</t>
  </si>
  <si>
    <t>Fără listă/hartă a străzilor restricționate.</t>
  </si>
  <si>
    <t>https://adptgmures.ro/</t>
  </si>
  <si>
    <t>Neamț</t>
  </si>
  <si>
    <t>Piatra Neamț</t>
  </si>
  <si>
    <t>3,5-7,5 t inclusiv (Raza municipiului (în afara traseelor de tranzit)): zi 50 RON, lună 150 RON, an 400 RON</t>
  </si>
  <si>
    <t>Fără HCL dedicat traficului greu (conform sursei secundare); taxa este instituită ca taxă locală (HCL taxe 2026, număr negăsit). Proiect de regulament 2015 (Anexa 1 la HCL nr. .../2015, marfuri periculoase și trafic greu)</t>
  </si>
  <si>
    <t>Cerere tip (Anexa 8): https://www.primariapn.ro/documents/10179/978847/cerere_trafic_greu_2015.pdf (solicitant, firmă, nr. înmatriculare, MTMA, tip marfă, adresa punctului de lucru aprovizionat, perioadă). Plata numerar la Ghișeul Serviciului Patrimoniu, Autorizări și Transport, str. Ștefan cel Mare nr. 6-8, sau virament către Primăria Piatra Neamț, CF 2612790.</t>
  </si>
  <si>
    <t>Primăria Municipiului Piatra Neamț, Serviciul Patrimoniu, Autorizări și Transport, str. Ștefan cel Mare nr. 6-8; program L, Ma, J, V 08:30-16:30, Mi 08:30-18:30 (sursă secundară). Control: Poliția Locală Piatra Neamț.</t>
  </si>
  <si>
    <t>https://www.bursatransport.com/info/access/viewarticle/slug/taxe-acces-piatra-neamt ; https://www.primariapn.ro/documents/10179/1709950/regulament_marfuri_periculoase_26_03_2015.pdf</t>
  </si>
  <si>
    <t>Olt</t>
  </si>
  <si>
    <t>Slatina</t>
  </si>
  <si>
    <t>Primăria Municipiului Slatina (contact nevalidat în această cercetare)</t>
  </si>
  <si>
    <t>http://www.primariaslatina.ro/</t>
  </si>
  <si>
    <t>Prahova</t>
  </si>
  <si>
    <t>Ploiești</t>
  </si>
  <si>
    <t>HCL 131/27.04.2011 privind reglementarea circulației în municipiul Ploiești a autovehiculelor cu masa maximă autorizată de peste 3,5 tone (în vigoare din 01.05.2011; abrogă HCL 34/2006, 81/2006, 124/2006)</t>
  </si>
  <si>
    <t>Autorizații de o zi: puncte de vânzare autorizate (valabilitate = data bonului fiscal). Autorizații pe perioade mai lungi: Biroul Autorizare transport public local (Direcția Tehnic Investiții). Formulare: https://ploiesti.ro/pentru-cetateni/mobilitate-si-trafic-urban/ (cerere generală, &gt;3,5 t 1 zi, &gt;7,5 t 1 zi, &gt;3,5 t gratuit art. 9). Plata: cod 220 «autorizații de acces în oraș».</t>
  </si>
  <si>
    <t>Primăria Municipiului Ploiești, Serviciul Mobilitate și Trafic Urban, Piața Eroilor nr. 1A; comisie.circulatie@ploiesti.ro; 0244 516 699 int. 508</t>
  </si>
  <si>
    <t>Zona A interzisă peste 3,5 t; peste 7,5 t autorizație 6-22. Anexele HCL 131/2011 scanate.</t>
  </si>
  <si>
    <t>https://ploiesti.ro/hotarari/hcl-131-2011/</t>
  </si>
  <si>
    <t>Satu Mare</t>
  </si>
  <si>
    <t>3,5-7,5 t inclusiv (Raza municipiului Satu Mare (în afara traseelor de tranzit)): zi 30 RON, lună 300 RON, an 1000 RON, abonament 600 RON</t>
  </si>
  <si>
    <t>HCL Satu Mare nr. 139/2023 - Regulament privind circulația autovehiculelor de transport greu (înlocuiește regimul din HCL nr. 76/30.04.2015)</t>
  </si>
  <si>
    <t>Online pe platforma https://tir.primariasm.ro (plată cu cardul, cont opțional; autorizația se emite pe numărul de înmatriculare, dovada este documentul de plată) sau la casieria Primăriei, P-ța 25 Octombrie nr. 1. Abonamentele pentru vehicule peste 7,5 t și autorizațiile de retragere la garaj se eliberează doar la sediul Primăriei.</t>
  </si>
  <si>
    <t>Primăria Municipiului Satu Mare, Piața 25 Octombrie nr. 1, 440026 Satu Mare; tel. autorizații 0261702526 (https://tir.primariasm.ro/en/contact). Control: Poliția Locală Satu Mare (conectată în timp real la platformă).</t>
  </si>
  <si>
    <t>https://tir.primariasm.ro/assets/frontend/pdf/Regulament.pdf ; https://tir.primariasm.ro/en/tariffs</t>
  </si>
  <si>
    <t>Sibiu</t>
  </si>
  <si>
    <t>Site-urile primăriei și poliției locale blochează citirea automată.</t>
  </si>
  <si>
    <t>Suceava</t>
  </si>
  <si>
    <t>3,501-7,5 t (Străzile municipiului supuse restricției de tonaj (&gt;3,5 t)): zi 50 RON, lună 497 RON</t>
  </si>
  <si>
    <t>HCL Suceava nr. 300/2018 (restricții); tarife: HCL nr. 407/23.11.2023 (2024); pentru 2026 proiect de HCL supus votului la 23.12.2025 (număr negăsit)</t>
  </si>
  <si>
    <t>Exclusiv prin aplicația mobilă „Suceava Transport” (Google Play / App Store): cont, cerere cu nr. înmatriculare și masa vehiculului (și remorcii), încărcare certificate de înmatriculare, alegere perioadă și tip transport (aprovizionare magazine, materiale construcții, tranzit), plată cu cardul; autorizația se generează automat după plată. Primăria nu mai emite AST la ghișeu.</t>
  </si>
  <si>
    <t>Primăria Municipiului Suceava, B-dul 1 Mai nr. 5A, 720224 Suceava, tel. +40 230 212696, fax +40 230 520593, e-mail primsv@primariasv.ro</t>
  </si>
  <si>
    <t>Permis doar prin aplicația „Suceava Transport”; HCL 2026 negăsit.</t>
  </si>
  <si>
    <t>https://www.primariasv.ro/dm_suceava/site.nsf/pagini/suceava+transport-0000A596 ; https://www.bursatransport.com/info/access/viewarticle/slug/taxe-acces-suceava ; https://www.svnews.ro/autovehiculele-de-peste-35-tone-vor-plati-intre-50-de-lei-si-166-de-lei-pe-zi-pentru-circulatia-pe-drumurile-publice-din-municipiul-suceava-de-la-1-ianuarie-2026/508231/</t>
  </si>
  <si>
    <t>Sălaj</t>
  </si>
  <si>
    <t>Zalău</t>
  </si>
  <si>
    <t>permis de staționare &gt;0 și ≤7,5 t (Parcare în spatele „clădirii albastre” (ECODES)): lună 250 RON, an 1500 RON</t>
  </si>
  <si>
    <t>PROIECT: Regulament privind desfășurarea circulației vehiculelor pentru transportul de mărfuri în municipiul Zalău (Anexa la HCL nr. ... din ..., necompletat); referat de aprobare nr. 21897/16.03.2026; aviz IPJ Sălaj nr. 14975/23.03.2026</t>
  </si>
  <si>
    <t>Conform proiectului: la sediul Primăriei Zalău (Piața Iuliu Maniu nr. 3) sau online (secțiunea „plătește on-line”; în text apare www.zalausi.ro, posibil greșeală de redactare pentru zalausj.ro); PLT de o zi și la benzinăriile cu contract de la intrările în oraș (fără documente). Pentru PLT lunar/anual: cerere (Anexa 3), copie certificat de înmatriculare, dovada plății; pentru anual și copie certificat ONRC; pentru zona pietonală dovada calității de riveran. Plata: numerar la Serviciile de impozite și taxe, virament (Trezoreria Zalău), online sau bon de benzinărie. Analiză: Direcția Tehnică - Serviciul SMSCUP.</t>
  </si>
  <si>
    <t>Primăria Municipiului Zalău, Piața Iuliu Maniu nr. 3, Zalău; primaria@zalausj.ro</t>
  </si>
  <si>
    <t>Doar proiect în consultare (2026); nu știm dacă a fost adoptat.</t>
  </si>
  <si>
    <t>https://www.zalausj.ro/ro/monitor/transparenta/reg_circ_vehicule.pdf ; https://zalausj.ro/ro/monitor/transparenta/regulament_circulatie_vehicule.pdf ; https://zalausj.ro/ro/monitor/transparenta/reg_circ_vehicule_nc2.pdf</t>
  </si>
  <si>
    <t>Teleorman</t>
  </si>
  <si>
    <t>Alexandria</t>
  </si>
  <si>
    <t>Primăria Municipiului Alexandria (contact nevalidat în această cercetare)</t>
  </si>
  <si>
    <t>https://alexandria.ro/</t>
  </si>
  <si>
    <t>Timiș</t>
  </si>
  <si>
    <t>Timișoara</t>
  </si>
  <si>
    <t>HCL 199/2026 (Regulamentul privind circulația autovehiculelor ... cu MTMA mai mare de 3,5 tone, în zonele cu restricție de tonaj), în vigoare din 01.08.2026; înlocuiește HCL 649/2022</t>
  </si>
  <si>
    <t>Portalul Primăriei Municipiului Timișoara (www.primariatm.ro), aplicații partenere, benzinării partenere sau Registratura primăriei; plată și prin transfer bancar.</t>
  </si>
  <si>
    <t>Primăria Municipiului Timișoara (Registratura; portal www.primariatm.ro); Poliția Locală Timișoara (control). Telefon/email specific negăsit.</t>
  </si>
  <si>
    <t>HCL 199/2026; se plătește pe zi sau abonament; Zona Cetate interzisă peste 3,5 t. Tabel tarife într-un PDF care nu s-a putut citi.</t>
  </si>
  <si>
    <t>https://agerpres.ro/comunicate/2026/08/04/comunicat-de-presa---politia-locala-timisoara--1581984</t>
  </si>
  <si>
    <t>Tulcea</t>
  </si>
  <si>
    <t>Peste 3,5 tone - maxim 7,5 tone (Străzi cu restricții de tonaj din municipiul Tulcea (inclusiv zona centrală)): zi 20 RON, lună 240 RON, an 1500 RON</t>
  </si>
  <si>
    <t>Hotărârea Consiliului Local Tulcea nr. 40/28.02.2023 (regulament, PDF scanat, text necitit)</t>
  </si>
  <si>
    <t>L.T. se achită înainte de deplasare: în aplicația „Tulcea Transport” (Google Play: com.fidasolutions.transport.tulcea; App Store: id6448292171) sau la casieria Direcției Întreținere și Administrare Patrimoniu (D.I.A.P.) Tulcea ori a Serviciului Impozite și Taxe. Documentele se încarcă în aplicație sau se depun la registratura D.I.A.P.: a) certificatul de înregistrare la Registrul Comerțului (persoane juridice); b) certificatul de înmatriculare din care să reiasă numărul de înmatriculare și masa maximă autorizată; c) solicitare scrisă cu motivul și durata (zilnic, lunar, anual).</t>
  </si>
  <si>
    <t>Primăria Municipiului Tulcea, Str. Păcii nr. 20, Tulcea; tel. 0240 511 440 / 0240 511 441; contact@primariatulcea.ro</t>
  </si>
  <si>
    <t>https://www.primariatulcea.ro/noutati/liberatrecere/ ; regulament: https://www.primariatulcea.ro/wp-content/uploads/2023/06/HOTARAREA_NR._40-28.02.2023_compressed.pdf</t>
  </si>
  <si>
    <t>Vaslui</t>
  </si>
  <si>
    <t>„Permis de liberă trecere / staționare în vederea aprovizionării”: cerere online pe portalul de servicii electronice (categoria Transport public); acte necesare: cerere tip; certificatul de înmatriculare.</t>
  </si>
  <si>
    <t>Primăria Municipiului Vaslui; pmv@primariavaslui.ro; Tel verde 0800 800 780; Secretariat 0235 310 999</t>
  </si>
  <si>
    <t>Permis există, tarif negăsit.</t>
  </si>
  <si>
    <t>https://se.primariavaslui.ro/cmsSE/acte-necesare-primaria-vaslui/permis-de-libera-trecere-stationare-in-vederea-aprovizionarii</t>
  </si>
  <si>
    <t>Vrancea</t>
  </si>
  <si>
    <t>Focșani</t>
  </si>
  <si>
    <t>3,5-5 t (Zona cu restricție de tonaj (&gt;3,5 t)): zi 58 RON, lună 583 RON, an 5829 RON</t>
  </si>
  <si>
    <t>HCL Focșani nr. 474/29.12.2025, Anexa nr. 1, cap. VII „Alte taxe locale”, secț. A pct. 6 „Taxe speciale de acces” (tarife 2026); restricție: HCL 396/2016; regulament circulație camioane &gt;3,5 t: HCL 445/2023 (necitit)</t>
  </si>
  <si>
    <t>Plată online (din 19.04.2024) pe https://plati.politialocalafocsani.ro/plati/adauga-plata-pasul-1; SMS la 7434 pentru autorizație 24 h; sau virament către Primăria Municipiului Focșani, Trezoreria Focșani, CIF 4350645.</t>
  </si>
  <si>
    <t>Primăria Municipiului Focșani (CIF 4350645); plăți și control: Poliția Locală Focșani (plati.politialocalafocsani.ro). Adresă/telefon dedicat negăsite.</t>
  </si>
  <si>
    <t>Tarife din HCL 474/2025; zona poate fi înlocuită de HCL 445/2023 (necitit).</t>
  </si>
  <si>
    <t>https://www.focsani.info/fisiere/userfiles/proiecte%20act%20noirmativ/HOTARARE_ITL_2026.pdf</t>
  </si>
  <si>
    <t>Vâlcea</t>
  </si>
  <si>
    <t>Râmnicu Vâlcea</t>
  </si>
  <si>
    <t>3,5-16 t, Grad I (acces zi, pe traseul din autorizație) (Zona R (municipală)): zi 138 RON, lună 563 RON</t>
  </si>
  <si>
    <t>HCL Râmnicu Vâlcea nr. 82/28.06.2001 (text indisponibil online, conform sursei secundare); tarife 2026 (act negăsit)</t>
  </si>
  <si>
    <t>Autorizație de liberă trecere (ALT) de la Direcția Dezvoltare Locală, Compartimentul Transport Local (Primăria Râmnicu Vâlcea); cerere tip https://www.primariavl.ro/documente/disp-attached/67b305bd258d9_Autorizatie_libera_trecere_2025_cerere.pdf. Plata: numerar la compartiment, la stațiile de carburant de la intrarea în oraș pe DN67, DN65, DN7, sau virament (CF 2540813). ALT se afișează pe parbriz; vigneta de 1 zi e valabilă doar cu dovada plății.</t>
  </si>
  <si>
    <t>Primăria Municipiului Râmnicu Vâlcea, Direcția Dezvoltare Locală, Compartimentul Transport Local, tel. 0250 731016 int. 147, fax 0250 736636 (sursă secundară); pagina serviciului: https://www.primariavl.ro/administratie/directii-si-servicii/124-directia-dezvoltare-locala/132-compartiment-transport-local/1550-eliberare-autorizatie-de-libera-trecere</t>
  </si>
  <si>
    <t>https://www.bursatransport.com/info/access/viewarticle/slug/taxe-acces-ramnicu-valcea</t>
  </si>
  <si>
    <t>Zonă</t>
  </si>
  <si>
    <t>Categorie masă</t>
  </si>
  <si>
    <t>Masă min (t)</t>
  </si>
  <si>
    <t>Masă max (t)</t>
  </si>
  <si>
    <t>Tip taxă</t>
  </si>
  <si>
    <t>Valoare</t>
  </si>
  <si>
    <t>Monedă</t>
  </si>
  <si>
    <t>Orar restricție</t>
  </si>
  <si>
    <t>Alte condiții</t>
  </si>
  <si>
    <t>Cum se obține</t>
  </si>
  <si>
    <t>Contact</t>
  </si>
  <si>
    <t>Data sursei</t>
  </si>
  <si>
    <t>Încredere</t>
  </si>
  <si>
    <t>Sursă</t>
  </si>
  <si>
    <t>Observații</t>
  </si>
  <si>
    <t>Limite zonă (text din sursă)</t>
  </si>
  <si>
    <t>Zona A (regim actual, 2026)</t>
  </si>
  <si>
    <t>5-7,5 t inclusiv</t>
  </si>
  <si>
    <t>zi</t>
  </si>
  <si>
    <t>RON</t>
  </si>
  <si>
    <t>Acces doar cu autorizație: 01.07-31.08 între 20:00-07:00 (interzis 07:00-20:00); 01.09-30.06 între 19:00-08:00 (interzis 08:00-19:00) - art. 4 HCGMB 134/2004 modificat prin HCGMB 132/2005. Rute de acces non-stop spre zone industriale/vamă (Anexa 3). Fără restricție orară, cu autorizație specială, pentru categoriile art. 5 (ex. lucrări rețele, poștă/curierat, panificație, cisterne lapte, tractări, școli de șoferi, mărfuri periculoase; construcții doar 01.09-30.06).</t>
  </si>
  <si>
    <t>Interzis tranzitul municipiului pentru MTMA &gt; 5 t dacă Bucureștiul nu este destinația finală. Ansamblu vehicul + remorcă: masa = suma maselor. Autorizația pentru Zona A e valabilă și în Zona B. Fără diferențiere pe normă Euro. Scutiți de autorizație (art. 7): vehicule în misiune (art. 32 alin. 2 lit. a-b OUG 195/2002), intervenții drumuri/rețele, tractare transport public, evenimente culturale ale PMB/sectoarelor; cu aviz de circulație: salubrizare (HCGMB 137/2025), electrice PE/HE-CC (HCGMB 29/2024). Vehicule istorice scutite de taxă (HCGMB 260/2005). Amendă 4.000-5.000 lei (HCGMB 29/2024); 3 sancțiuni/an = pierderea dreptului de acces.</t>
  </si>
  <si>
    <t>2025-12-23 (HCGMB 514/2025); accesat 2026-10-10</t>
  </si>
  <si>
    <t>Valabil în 2026 (niveluri 'începând cu anul 2026'). Nivel 2025 (proiect PMB nr. 1659): 344 lei/zi. PDF scanat: coloanele lei/zi și lei/lună deduse din ordinea valorilor și antetul '(lei/zi sau lei/luna)' din normele metodologice; coroborat cu presa pentru 5-7,5 t (Zona A 363/3.147, Zona B 100/787). Se aplică până la intrarea în vigoare a noii HCGMB adoptate la 30.09.2026 (01.01.2027 conform proiectului v2).</t>
  </si>
  <si>
    <t>Anexa nr. 1 la HCGMB 134/2004, înlocuită prin HCGMB 132/2005 (text de pe www3.pmb.ro/transport/legislatie): Bd. Dacia, Str. Traian, Str. Nerva Traian, Bd. O.Goga, Pasaj Mărăşeşti, Bd. Mărăşeşti, Str. Mitropolit Nifon, Bd. Libertăţii, Calea 13 Septembrie, Şos. Pandurilor, Şos. Grozăveşti, Şos. Orhideelor, Bd. Dinicu Golescu, Piaţa Gării de Nord, Calea Griviţei, Şos. N. Titulescu, Bd. Banu Manta, Bd. I. Mihalache, Bd. Averescu, Bd. C-tin Prezan, Bd. Aviatorilor, Bd. Mircea Eliade, Str. P.I. Ceaikovski, Str. B. Văcărescu, Str. Tunari, Bd. Dacia. Pe arterele care delimitează zona se respectă regimul de circulație din afara acesteia.</t>
  </si>
  <si>
    <t>lună</t>
  </si>
  <si>
    <t>Valabil în 2026 (niveluri 'începând cu anul 2026'). Nivel 2025 (proiect PMB nr. 1659): 2980 lei/lună. PDF scanat: coloanele lei/zi și lei/lună deduse din ordinea valorilor și antetul '(lei/zi sau lei/luna)' din normele metodologice; coroborat cu presa pentru 5-7,5 t (Zona A 363/3.147, Zona B 100/787). Se aplică până la intrarea în vigoare a noii HCGMB adoptate la 30.09.2026 (01.01.2027 conform proiectului v2).</t>
  </si>
  <si>
    <t>7,5-12,5 t inclusiv</t>
  </si>
  <si>
    <t>Valabil în 2026 (niveluri 'începând cu anul 2026'). Nivel 2025 (proiect PMB nr. 1659): 673 lei/zi. PDF scanat: coloanele lei/zi și lei/lună deduse din ordinea valorilor și antetul '(lei/zi sau lei/luna)' din normele metodologice; coroborat cu presa pentru 5-7,5 t (Zona A 363/3.147, Zona B 100/787). Se aplică până la intrarea în vigoare a noii HCGMB adoptate la 30.09.2026 (01.01.2027 conform proiectului v2).</t>
  </si>
  <si>
    <t>Valabil în 2026 (niveluri 'începând cu anul 2026'). Nivel 2025 (proiect PMB nr. 1659): 5960 lei/lună. PDF scanat: coloanele lei/zi și lei/lună deduse din ordinea valorilor și antetul '(lei/zi sau lei/luna)' din normele metodologice; coroborat cu presa pentru 5-7,5 t (Zona A 363/3.147, Zona B 100/787). Se aplică până la intrarea în vigoare a noii HCGMB adoptate la 30.09.2026 (01.01.2027 conform proiectului v2).</t>
  </si>
  <si>
    <t>12,5-16 t inclusiv</t>
  </si>
  <si>
    <t>Valabil în 2026 (niveluri 'începând cu anul 2026'). Nivel 2025 (proiect PMB nr. 1659): 1346 lei/zi. PDF scanat: coloanele lei/zi și lei/lună deduse din ordinea valorilor și antetul '(lei/zi sau lei/luna)' din normele metodologice; coroborat cu presa pentru 5-7,5 t (Zona A 363/3.147, Zona B 100/787). Se aplică până la intrarea în vigoare a noii HCGMB adoptate la 30.09.2026 (01.01.2027 conform proiectului v2).</t>
  </si>
  <si>
    <t>Valabil în 2026 (niveluri 'începând cu anul 2026'). Nivel 2025 (proiect PMB nr. 1659): 11921 lei/lună. PDF scanat: coloanele lei/zi și lei/lună deduse din ordinea valorilor și antetul '(lei/zi sau lei/luna)' din normele metodologice; coroborat cu presa pentru 5-7,5 t (Zona A 363/3.147, Zona B 100/787). Se aplică până la intrarea în vigoare a noii HCGMB adoptate la 30.09.2026 (01.01.2027 conform proiectului v2).</t>
  </si>
  <si>
    <t>16-22 t inclusiv</t>
  </si>
  <si>
    <t>Valabil în 2026 (niveluri 'începând cu anul 2026'). Nivel 2025 (proiect PMB nr. 1659): 2020 lei/zi. PDF scanat: coloanele lei/zi și lei/lună deduse din ordinea valorilor și antetul '(lei/zi sau lei/luna)' din normele metodologice; coroborat cu presa pentru 5-7,5 t (Zona A 363/3.147, Zona B 100/787). Se aplică până la intrarea în vigoare a noii HCGMB adoptate la 30.09.2026 (01.01.2027 conform proiectului v2).</t>
  </si>
  <si>
    <t>Valabil în 2026 (niveluri 'începând cu anul 2026'). Nivel 2025 (proiect PMB nr. 1659): 17883 lei/lună. PDF scanat: coloanele lei/zi și lei/lună deduse din ordinea valorilor și antetul '(lei/zi sau lei/luna)' din normele metodologice; coroborat cu presa pentru 5-7,5 t (Zona A 363/3.147, Zona B 100/787). Se aplică până la intrarea în vigoare a noii HCGMB adoptate la 30.09.2026 (01.01.2027 conform proiectului v2).</t>
  </si>
  <si>
    <t>22-40 t inclusiv</t>
  </si>
  <si>
    <t>Valabil în 2026 (niveluri 'începând cu anul 2026'). Nivel 2025 (proiect PMB nr. 1659): 2692 lei/zi. PDF scanat: coloanele lei/zi și lei/lună deduse din ordinea valorilor și antetul '(lei/zi sau lei/luna)' din normele metodologice; coroborat cu presa pentru 5-7,5 t (Zona A 363/3.147, Zona B 100/787). Se aplică până la intrarea în vigoare a noii HCGMB adoptate la 30.09.2026 (01.01.2027 conform proiectului v2).</t>
  </si>
  <si>
    <t>Valabil în 2026 (niveluri 'începând cu anul 2026'). Nivel 2025 (proiect PMB nr. 1659): 23844 lei/lună. PDF scanat: coloanele lei/zi și lei/lună deduse din ordinea valorilor și antetul '(lei/zi sau lei/luna)' din normele metodologice; coroborat cu presa pentru 5-7,5 t (Zona A 363/3.147, Zona B 100/787). Se aplică până la intrarea în vigoare a noii HCGMB adoptate la 30.09.2026 (01.01.2027 conform proiectului v2).</t>
  </si>
  <si>
    <t>peste 40 t</t>
  </si>
  <si>
    <t>Valabil în 2026 (niveluri 'începând cu anul 2026'). Nivel 2025 (proiect PMB nr. 1659): 3347 lei/zi. PDF scanat: coloanele lei/zi și lei/lună deduse din ordinea valorilor și antetul '(lei/zi sau lei/luna)' din normele metodologice; coroborat cu presa pentru 5-7,5 t (Zona A 363/3.147, Zona B 100/787). Se aplică până la intrarea în vigoare a noii HCGMB adoptate la 30.09.2026 (01.01.2027 conform proiectului v2).</t>
  </si>
  <si>
    <t>Valabil în 2026 (niveluri 'începând cu anul 2026'). Nivel 2025 (proiect PMB nr. 1659): 29805 lei/lună. PDF scanat: coloanele lei/zi și lei/lună deduse din ordinea valorilor și antetul '(lei/zi sau lei/luna)' din normele metodologice; coroborat cu presa pentru 5-7,5 t (Zona A 363/3.147, Zona B 100/787). Se aplică până la intrarea în vigoare a noii HCGMB adoptate la 30.09.2026 (01.01.2027 conform proiectului v2).</t>
  </si>
  <si>
    <t>Zona B (regim actual, 2026)</t>
  </si>
  <si>
    <t>Non-stop (fără restricție orară) pentru 5-7,5 t în Zona B, conform tabelului de pe https://www3.pmb.ro/transport/legislatie.</t>
  </si>
  <si>
    <t>Valabil în 2026 (niveluri 'începând cu anul 2026'). Nivel 2025 (proiect PMB nr. 1659): 95 lei/zi. PDF scanat: coloanele lei/zi și lei/lună deduse din ordinea valorilor și antetul '(lei/zi sau lei/luna)' din normele metodologice; coroborat cu presa pentru 5-7,5 t (Zona A 363/3.147, Zona B 100/787). Se aplică până la intrarea în vigoare a noii HCGMB adoptate la 30.09.2026 (01.01.2027 conform proiectului v2). Atenție: HCGMB 134/2004 restricționează Zona B pentru &gt; 7,5 t, dar tabelul de taxe include și clasa 5-7,5 t; pe pmb.ro clasa e marcată non-stop.</t>
  </si>
  <si>
    <t>Anexa nr. 2 la HCGMB 134/2004 (text din PDF-ul hotărârii, fără diacritice): Bd. Aerogarii - str. Cpt. Alex. Serbanescu - str. Barbu Vacarescu - str. Fabrica de Glucoza - sos. Petricani - str. Doamna Ghica - sos. Colentina - sos. Fundeni - str. Morarilor - Bd. Basarabia - Bd. 1 Decembrie 1918 - Bd. Th. Palady - Bd. Camil Ressu - str. Fizicienilor - Bd. Energeticienilor - Calea Vitan - sos. Vitan Barzesti - str. Ion Iriceanu - str. Turnu Magurele - str. Luica - sos. Giugiului - str. Alexandru Anghel - str. Prelungirea Ferentari - Calea Ferentarilor - str. M. Sebastian - Calea 13 Septembrie - Bd. Ghencea - str. Brasov - sos. Virtutii - Calea Crangasi - Pasaj Grant - Calea Grivitei - Bd. Bucurestii Noi - str. Jiului - Bd. Poligrafiei - Pasaj Jiului - str. Baiculesti - sos. Straulesti - Bd. Ion Ionescu de la Brad. (Pagina www3.pmb.ro/transport/legislatie și KML-ul PMB adaugă 'Str. Zeţarilor' între Str. Alex. Anghel și Prelungirea Ferentari.) Zona B include geografic Zona A; pe arterele-limită se aplică regimul din afara zonei.</t>
  </si>
  <si>
    <t>Valabil în 2026 (niveluri 'începând cu anul 2026'). Nivel 2025 (proiect PMB nr. 1659): 745 lei/lună. PDF scanat: coloanele lei/zi și lei/lună deduse din ordinea valorilor și antetul '(lei/zi sau lei/luna)' din normele metodologice; coroborat cu presa pentru 5-7,5 t (Zona A 363/3.147, Zona B 100/787). Se aplică până la intrarea în vigoare a noii HCGMB adoptate la 30.09.2026 (01.01.2027 conform proiectului v2). Atenție: HCGMB 134/2004 restricționează Zona B pentru &gt; 7,5 t, dar tabelul de taxe include și clasa 5-7,5 t; pe pmb.ro clasa e marcată non-stop.</t>
  </si>
  <si>
    <t>Valabil în 2026 (niveluri 'începând cu anul 2026'). Nivel 2025 (proiect PMB nr. 1659): 173 lei/zi. PDF scanat: coloanele lei/zi și lei/lună deduse din ordinea valorilor și antetul '(lei/zi sau lei/luna)' din normele metodologice; coroborat cu presa pentru 5-7,5 t (Zona A 363/3.147, Zona B 100/787). Se aplică până la intrarea în vigoare a noii HCGMB adoptate la 30.09.2026 (01.01.2027 conform proiectului v2).</t>
  </si>
  <si>
    <t>Valabil în 2026 (niveluri 'începând cu anul 2026'). Nivel 2025 (proiect PMB nr. 1659): 1492 lei/lună. PDF scanat: coloanele lei/zi și lei/lună deduse din ordinea valorilor și antetul '(lei/zi sau lei/luna)' din normele metodologice; coroborat cu presa pentru 5-7,5 t (Zona A 363/3.147, Zona B 100/787). Se aplică până la intrarea în vigoare a noii HCGMB adoptate la 30.09.2026 (01.01.2027 conform proiectului v2).</t>
  </si>
  <si>
    <t>Valabil în 2026 (niveluri 'începând cu anul 2026'). Nivel 2025 (proiect PMB nr. 1659): 265 lei/zi. PDF scanat: coloanele lei/zi și lei/lună deduse din ordinea valorilor și antetul '(lei/zi sau lei/luna)' din normele metodologice; coroborat cu presa pentru 5-7,5 t (Zona A 363/3.147, Zona B 100/787). Se aplică până la intrarea în vigoare a noii HCGMB adoptate la 30.09.2026 (01.01.2027 conform proiectului v2).</t>
  </si>
  <si>
    <t>Valabil în 2026 (niveluri 'începând cu anul 2026'). Nivel 2025 (proiect PMB nr. 1659): 2236 lei/lună. PDF scanat: coloanele lei/zi și lei/lună deduse din ordinea valorilor și antetul '(lei/zi sau lei/luna)' din normele metodologice; coroborat cu presa pentru 5-7,5 t (Zona A 363/3.147, Zona B 100/787). Se aplică până la intrarea în vigoare a noii HCGMB adoptate la 30.09.2026 (01.01.2027 conform proiectului v2).</t>
  </si>
  <si>
    <t>Valabil în 2026 (niveluri 'începând cu anul 2026'). Nivel 2025 (proiect PMB nr. 1659): 422 lei/zi. PDF scanat: coloanele lei/zi și lei/lună deduse din ordinea valorilor și antetul '(lei/zi sau lei/luna)' din normele metodologice; coroborat cu presa pentru 5-7,5 t (Zona A 363/3.147, Zona B 100/787). Se aplică până la intrarea în vigoare a noii HCGMB adoptate la 30.09.2026 (01.01.2027 conform proiectului v2).</t>
  </si>
  <si>
    <t>Valabil în 2026 (niveluri 'începând cu anul 2026'). Nivel 2025 (proiect PMB nr. 1659): 3733 lei/lună. PDF scanat: coloanele lei/zi și lei/lună deduse din ordinea valorilor și antetul '(lei/zi sau lei/luna)' din normele metodologice; coroborat cu presa pentru 5-7,5 t (Zona A 363/3.147, Zona B 100/787). Se aplică până la intrarea în vigoare a noii HCGMB adoptate la 30.09.2026 (01.01.2027 conform proiectului v2).</t>
  </si>
  <si>
    <t>Valabil în 2026 (niveluri 'începând cu anul 2026'). Nivel 2025 (proiect PMB nr. 1659): 518 lei/zi. PDF scanat: coloanele lei/zi și lei/lună deduse din ordinea valorilor și antetul '(lei/zi sau lei/luna)' din normele metodologice; coroborat cu presa pentru 5-7,5 t (Zona A 363/3.147, Zona B 100/787). Se aplică până la intrarea în vigoare a noii HCGMB adoptate la 30.09.2026 (01.01.2027 conform proiectului v2).</t>
  </si>
  <si>
    <t>Valabil în 2026 (niveluri 'începând cu anul 2026'). Nivel 2025 (proiect PMB nr. 1659): 4471 lei/lună. PDF scanat: coloanele lei/zi și lei/lună deduse din ordinea valorilor și antetul '(lei/zi sau lei/luna)' din normele metodologice; coroborat cu presa pentru 5-7,5 t (Zona A 363/3.147, Zona B 100/787). Se aplică până la intrarea în vigoare a noii HCGMB adoptate la 30.09.2026 (01.01.2027 conform proiectului v2).</t>
  </si>
  <si>
    <t>Zonele A și B (regim actual, 2026)</t>
  </si>
  <si>
    <t>până la 5 t inclusiv</t>
  </si>
  <si>
    <t>fără taxă</t>
  </si>
  <si>
    <t>Fără restricții din HCGMB 134/2004</t>
  </si>
  <si>
    <t>Regimul se aplică doar peste 5 t MTMA.</t>
  </si>
  <si>
    <t>Nu este necesară autorizație.</t>
  </si>
  <si>
    <t>HCGMB nr. 134/2004, art. 6 (tabel: 'până la 5 t inclusiv - scutit')</t>
  </si>
  <si>
    <t>2004-08-26; accesat 2026-10-10</t>
  </si>
  <si>
    <t>https://doc.pmb.ro/legis/acteinterne/2004/13019/h0134_04.pdf</t>
  </si>
  <si>
    <t>Zona A: Anexa 1 (HCGMB 132/2005); Zona B: Anexa 2 (HCGMB 134/2004)</t>
  </si>
  <si>
    <t>Tot municipiul București (tranzit)</t>
  </si>
  <si>
    <t>peste 5 t</t>
  </si>
  <si>
    <t>interzis</t>
  </si>
  <si>
    <t>Permanent</t>
  </si>
  <si>
    <t>Autovehiculele &gt; 5 t MTMA nu pot tranzita municipiul dacă Bucureștiul nu este destinația finală.</t>
  </si>
  <si>
    <t>Nu se emite autorizație pentru tranzit.</t>
  </si>
  <si>
    <t>HCGMB nr. 134/2004; interdicția se menține și în noul regulament (referatul proiectului PMB nr. 1737)</t>
  </si>
  <si>
    <t>2004-08-26; proiect 2026; accesat 2026-10-10</t>
  </si>
  <si>
    <t>https://doc.pmb.ro/legis/acteinterne/2004/13019/h0134_04.pdf ; https://doc.pmb.ro/consiliu/dezbatere/1737/v2_ph_1737_circulatie_auto_grele.pdf</t>
  </si>
  <si>
    <t>În proiectul v2 interdicția apare în referat și raport ('menținerea interdicției de tranzitare'), nu în articolele hotărârii.</t>
  </si>
  <si>
    <t>Întreg teritoriul municipiului</t>
  </si>
  <si>
    <t>Zona A (regulament nou, de la 01.01.2027)</t>
  </si>
  <si>
    <t>Fără restricții orare pe întreg teritoriul municipiului, cu autorizație sau aviz de circulație valabil (art. 3 proiect v2).</t>
  </si>
  <si>
    <t>Se menține interdicția de tranzit pentru &gt; 5 t (referat). MTMA: din certificatul de înmatriculare/cartea de identitate; ansambluri: masa maximă tehnic admisibilă a ansamblului; școli de șoferi: masa proprie. Fără diferențiere pe normă Euro. Scutiți de taxă (cu aviz de circulație obligatoriu): instituții în misiune (OUG 195/2002 art. 32 alin. 2 lit. a-b), operatori servicii publice la avarii, instituții/societăți PMB și sectoare, vehicule electrice PE/HE-CC, salubrizare (Legea 101/2006), vehicule istorice, utilaje CMES (Anexa 3). Amendă 5.000-10.000 lei. Autorizația Zona A e valabilă și în Zona B. Taxa nu se restituie.</t>
  </si>
  <si>
    <t>Autorizație de circulație (cu taxă) sau aviz de circulație (scutiți), emise exclusiv online de PMB - Direcția Transport, cu cod QR; procedura se publică pe www.pmb.ro; taxa se plătește integral la solicitare. Platforma existentă: https://www3.pmb.ro/transport/autorizatie.</t>
  </si>
  <si>
    <t>HCGMB adoptată în ședința CGMB din 30.09.2026 privind circulația autovehiculelor și a utilajelor grele în municipiul București (număr nepublicat pe acteinterne.pmb.ro la 10.10.2026); abrogă HCGMB 134/2004 și modificările; proiect PMB nr. 1737 (v2)</t>
  </si>
  <si>
    <t>2026-09-30 (adoptare, conform presei); proiect v2 2026; accesat 2026-10-10</t>
  </si>
  <si>
    <t>https://doc.pmb.ro/consiliu/dezbatere/1737/v2_ph_1737_circulatie_auto_grele.pdf</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</si>
  <si>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Nivel 2026 (HCGMB 514/2025): 363 lei/zi.</t>
  </si>
  <si>
    <t>Neschimbată (Anexa nr. 1 la noul regulament, proiect PMB nr. 1737 v2, text OCR): Bdul Dacia - Str. Traian - Str. Nerva Traian - Bdul Octavian Goga - Pasaj Marasesti - Bdul Marasesti - Str. Mitropolit Nifon - Bdul Libertatii - Calea 13 Septembrie - Sos. Pandurilor - Sos. Grozavesti - Sos. Orhideelor - Bdul Dinicu Golescu - Piata Garii de Nord - Calea Grivitei - Sos. Nicolae Titulescu - Bdul Banu Manta - Bdul Ion Mihalache - Bdul Maresal Averescu - Bdul Constantin Prezan - Bdul Aviatorilor - Bdul Mircea Eliade - Bdul P.I. Ceaikovski - Str. Barbu Vacarescu - Str. Tunari - Bdul Dacia.</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</si>
  <si>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Nivel 2026 (HCGMB 514/2025): 3147 lei/lună.</t>
  </si>
  <si>
    <t>an</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</si>
  <si>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Taxa anuală = 'valoarea echivalentă cu 10 taxe lunare de acces' (art. 4 alin. (6)-(7) proiect v2), pentru autorizație valabilă un an; proiectul nu dă cifra, valoarea calculată ar fi 31470 lei (calcul, nu citit în sursă). Taxa anuală nu exista în v1.</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</si>
  <si>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Nivel 2026 (HCGMB 514/2025): 711 lei/zi. b365.ro (02.07.2026) indică 2.711 lei/zi, probabil eroare de tipar; proiectul oficial și economica.net: 711.</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</si>
  <si>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Nivel 2026 (HCGMB 514/2025): 6294 lei/lună.</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</si>
  <si>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Taxa anuală = 'valoarea echivalentă cu 10 taxe lunare de acces' (art. 4 alin. (6)-(7) proiect v2), pentru autorizație valabilă un an; proiectul nu dă cifra, valoarea calculată ar fi 62940 lei (calcul, nu citit în sursă). Taxa anuală nu exista în v1.</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</si>
  <si>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Nivel 2026 (HCGMB 514/2025): 1421 lei/zi.</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</si>
  <si>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Nivel 2026 (HCGMB 514/2025): 12589 lei/lună.</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</si>
  <si>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Taxa anuală = 'valoarea echivalentă cu 10 taxe lunare de acces' (art. 4 alin. (6)-(7) proiect v2), pentru autorizație valabilă un an; proiectul nu dă cifra, valoarea calculată ar fi 125890 lei (calcul, nu citit în sursă). Taxa anuală nu exista în v1.</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</si>
  <si>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Nivel 2026 (HCGMB 514/2025): 2133 lei/zi.</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</si>
  <si>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Nivel 2026 (HCGMB 514/2025): 18884 lei/lună.</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</si>
  <si>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Taxa anuală = 'valoarea echivalentă cu 10 taxe lunare de acces' (art. 4 alin. (6)-(7) proiect v2), pentru autorizație valabilă un an; proiectul nu dă cifra, valoarea calculată ar fi 188840 lei (calcul, nu citit în sursă). Taxa anuală nu exista în v1.</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</si>
  <si>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Nivel 2026 (HCGMB 514/2025): 2843 lei/zi.</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</si>
  <si>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Nivel 2026 (HCGMB 514/2025): 25179 lei/lună.</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</si>
  <si>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Taxa anuală = 'valoarea echivalentă cu 10 taxe lunare de acces' (art. 4 alin. (6)-(7) proiect v2), pentru autorizație valabilă un an; proiectul nu dă cifra, valoarea calculată ar fi 251790 lei (calcul, nu citit în sursă). Taxa anuală nu exista în v1.</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</si>
  <si>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Nivel 2026 (HCGMB 514/2025): 3534 lei/zi.</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</si>
  <si>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Nivel 2026 (HCGMB 514/2025): 31474 lei/lună.</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</si>
  <si>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Taxa anuală = 'valoarea echivalentă cu 10 taxe lunare de acces' (art. 4 alin. (6)-(7) proiect v2), pentru autorizație valabilă un an; proiectul nu dă cifra, valoarea calculată ar fi 314740 lei (calcul, nu citit în sursă). Taxa anuală nu exista în v1.</t>
  </si>
  <si>
    <t>Zona B extinsă (regulament nou, de la 01.01.2027)</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</si>
  <si>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Nivel 2026 (HCGMB 514/2025): 100 lei/zi.</t>
  </si>
  <si>
    <t>Zona B reconfigurată: de la limita Zonei A 'până la limita unității administrativ teritoriale a Municipiului București', conform hărții ANCPI din Anexa nr. 2 (art. 1 lit. b din proiectul PMB nr. 1737). Pe arterele care delimitează una din zone se respectă regimul de circulație din afara acesteia (art. 1 alin. 2).</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</si>
  <si>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Nivel 2026 (HCGMB 514/2025): 787 lei/lună.</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</si>
  <si>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Taxa anuală = 'valoarea echivalentă cu 10 taxe lunare de acces' (art. 4 alin. (6)-(7) proiect v2), pentru autorizație valabilă un an; proiectul nu dă cifra, valoarea calculată ar fi 7100 lei (calcul, nu citit în sursă). Taxa anuală nu exista în v1.</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</si>
  <si>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Nivel 2026 (HCGMB 514/2025): 183 lei/zi.</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</si>
  <si>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Nivel 2026 (HCGMB 514/2025): 1576 lei/lună.</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</si>
  <si>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Taxa anuală = 'valoarea echivalentă cu 10 taxe lunare de acces' (art. 4 alin. (6)-(7) proiect v2), pentru autorizație valabilă un an; proiectul nu dă cifra, valoarea calculată ar fi 14200 lei (calcul, nu citit în sursă). Taxa anuală nu exista în v1.</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</si>
  <si>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Nivel 2026 (HCGMB 514/2025): 280 lei/zi.</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</si>
  <si>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Nivel 2026 (HCGMB 514/2025): 2361 lei/lună.</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</si>
  <si>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Taxa anuală = 'valoarea echivalentă cu 10 taxe lunare de acces' (art. 4 alin. (6)-(7) proiect v2), pentru autorizație valabilă un an; proiectul nu dă cifra, valoarea calculată ar fi 21250 lei (calcul, nu citit în sursă). Taxa anuală nu exista în v1.</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</si>
  <si>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Taxa anuală = 'valoarea echivalentă cu 10 taxe lunare de acces' (art. 4 alin. (6)-(7) proiect v2), pentru autorizație valabilă un an; proiectul nu dă cifra, valoarea calculată ar fi 28350 lei (calcul, nu citit în sursă). Taxa anuală nu exista în v1.</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</si>
  <si>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Nivel 2026 (HCGMB 514/2025): 446 lei/zi.</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</si>
  <si>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Nivel 2026 (HCGMB 514/2025): 3942 lei/lună.</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</si>
  <si>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Taxa anuală = 'valoarea echivalentă cu 10 taxe lunare de acces' (art. 4 alin. (6)-(7) proiect v2), pentru autorizație valabilă un an; proiectul nu dă cifra, valoarea calculată ar fi 35500 lei (calcul, nu citit în sursă). Taxa anuală nu exista în v1.</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</si>
  <si>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Nivel 2026 (HCGMB 514/2025): 547 lei/zi.</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</si>
  <si>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Nivel 2026 (HCGMB 514/2025): 4721 lei/lună.</t>
  </si>
  <si>
    <t>Valori citite în proiectul oficial PMB nr. 1737 v2 (identice cu v1) și raportate de economica.net (30.09.2026) ca adoptate. Textul HCGMB adoptate nu era publicat la 10.10.2026. Intrare în vigoare 01.01.2027 conform art. 12 din proiectul v2 (neverificat în textul adoptat). Tarife valabile până la 31.12.2027; din 2028 indexare anuală cu IPC (INS), dacă CGMB nu stabilește alte valori. Taxa anuală = 'valoarea echivalentă cu 10 taxe lunare de acces' (art. 4 alin. (6)-(7) proiect v2), pentru autorizație valabilă un an; proiectul nu dă cifra, valoarea calculată ar fi 42500 lei (calcul, nu citit în sursă). Taxa anuală nu exista în v1.</t>
  </si>
  <si>
    <t>Zonele A și B (regulament nou, de la 01.01.2027)</t>
  </si>
  <si>
    <t>Nu intră sub incidența regulamentului</t>
  </si>
  <si>
    <t>Regimul se aplică doar vehiculelor &gt; 5 t MTMA (art. 4 alin. 1 proiect v2).</t>
  </si>
  <si>
    <t>2026-09-30 (adoptare, conform presei); accesat 2026-10-10</t>
  </si>
  <si>
    <t>Din proiectul oficial v2; textul adoptat nepublicat la 10.10.2026.</t>
  </si>
  <si>
    <t>Zona A: Anexa 1; Zona B: de la limita Zonei A până la limita UAT București (Anexa 2)</t>
  </si>
  <si>
    <t>2025-12-30</t>
  </si>
  <si>
    <t>Niciun titlu HCL 2025/2026 despre tonaj/acces; nici formular. HCL taxe 2026 e scanat, de verificat manual.</t>
  </si>
  <si>
    <t>comuna Afumați</t>
  </si>
  <si>
    <t>peste 7,5 t (persoane fizice)</t>
  </si>
  <si>
    <t>Denumire: «Taxe privind restricționarea accesului și circulației autovehiculelor cu masa maximă autorizată mai mare de 7,5 tone pe raza comunei Afumați».</t>
  </si>
  <si>
    <t>2025-12 (HCL); accesat 2026-10-10</t>
  </si>
  <si>
    <t>Valoare 2026. Text OCR slab; aceleași valori citite și în proiect (pit_2026.pdf). Asocierea pe coloane PF/PJ și 2025/2026 a fost dedusă din structura tabelului; de verificat pe PDF. Valorile 2025 citite: PF/PJ zi 66/131, lună 330/661, 6 luni 661/1.320, an 1.320/2.641. Nu se menționează scutiri și nici HCL-ul care a instituit inițial taxa.</t>
  </si>
  <si>
    <t>«pe raza comunei Afumați» (fără străzi enumerate)</t>
  </si>
  <si>
    <t>peste 7,5 t (persoane juridice)</t>
  </si>
  <si>
    <t>abonament</t>
  </si>
  <si>
    <t>Denumire: «Taxe privind restricționarea accesului și circulației autovehiculelor cu masa maximă autorizată mai mare de 7,5 tone pe raza comunei Afumați». Perioadă: 6 luni.</t>
  </si>
  <si>
    <t>accesat 2026-10-10</t>
  </si>
  <si>
    <t>Negăsit (nu înseamnă «fără taxă»). Lista ghiseul.ro fără taxă de acces (doar «Mijloace de transport 12 tone», «Autorizatie provizorie a circulatiei»). Paginile taxe, poliție locală și HCL ale primăriei nu menționează taxa; lista HCL se încarcă dinamic. MOL: emol.ro/balotesti-if.</t>
  </si>
  <si>
    <t>2026-08</t>
  </si>
  <si>
    <t>Proiect în consultare publică (încărcat 08/2026), PDF scanat, sumele nu au putut fi citite. În lista HCL 2026 (până la HCL 62, încărcat 10/2026) nu apare o hotărâre adoptată cu acest titlu. De urmărit adoptarea.</t>
  </si>
  <si>
    <t>2026-10-10</t>
  </si>
  <si>
    <t>Niciun titlu HCL 2025/2026 nu menționează tonaj/acces autovehicule; nu există formular de autorizare tonaj în secțiunea ITL. Documente relevante, dar scanate (fără text): HCL 184/19.12.2025 (impozite și taxe 2026) https://www.primariaorasbragadiru.ro/downloads/hcldelib/2025/H%20184.pdf și HCL 41/28.02.2025 (regulament fluidizare și siguranța circulației) https://www.primariaorasbragadiru.ro/downloads/hcldelib/2025/h%2041.pdf. Acestea trebuie citite manual (OCR).</t>
  </si>
  <si>
    <t>comuna Brănești</t>
  </si>
  <si>
    <t>7-12 t inclusiv</t>
  </si>
  <si>
    <t>Circulația autovehiculelor peste 7 t «se efectuează numai în baza autorizației de circulație emisă de către primăria comunei Brănești». Amenzi (Anexa 1): 1.000-2.000 lei (art. 2.3), 5.000-10.000 lei (art. 2.4). Reduceri/scutiri: în HCL 47/2024 și Anexa 1 (necitite).</t>
  </si>
  <si>
    <t>2024-03-28 (HCL); accesat 2026-10-10</t>
  </si>
  <si>
    <t>Valori din anunțul oficial al primăriei. PDF-ul HCL nr. 47 (https://www.primaria-branesti.ro/images/PDF/Avizier/HCL%20nr.47.pdf) nu a putut fi citit (robots).</t>
  </si>
  <si>
    <t>Anunțul nu enumeră străzi; trimite la HCL nr. 47/2024 și Anexa 1 (Regulament).</t>
  </si>
  <si>
    <t>12-30 t inclusiv</t>
  </si>
  <si>
    <t>30-40 t inclusiv</t>
  </si>
  <si>
    <t>Valori din anunțul oficial al primăriei. PDF-ul HCL nr. 47 (https://www.primaria-branesti.ro/images/PDF/Avizier/HCL%20nr.47.pdf) nu a putut fi citit (robots). Pentru clasa peste 40 t este dată doar valoarea pe zi.</t>
  </si>
  <si>
    <t>oraș Buftea</t>
  </si>
  <si>
    <t>3,5-5 t (proprietar cu sediul/domiciliul în Buftea)</t>
  </si>
  <si>
    <t>Tarif pentru vehicule ale persoanelor fizice/juridice cu sediul sau domiciliul în orașul Buftea.</t>
  </si>
  <si>
    <t>2025-12-22 (HCL); accesat 2026-10-10</t>
  </si>
  <si>
    <t>Valoare 2026 citită din PDF-ul HCL (text OCR). La lună/an, clasa 12,5-16 t are aceeași valoare ca 7,5-12,5 t în textul citit; de verificat pe PDF. Fără scutiri menționate.</t>
  </si>
  <si>
    <t>HCL nu specifică zone sau străzi (taxa se aplică pe raza orașului).</t>
  </si>
  <si>
    <t>5-7,5 t (proprietar cu sediul/domiciliul în Buftea)</t>
  </si>
  <si>
    <t>7,5-12,5 t (proprietar cu sediul/domiciliul în Buftea)</t>
  </si>
  <si>
    <t>12,5-16 t (proprietar cu sediul/domiciliul în Buftea)</t>
  </si>
  <si>
    <t>16-22 t (proprietar cu sediul/domiciliul în Buftea)</t>
  </si>
  <si>
    <t>22-40 t (proprietar cu sediul/domiciliul în Buftea)</t>
  </si>
  <si>
    <t>peste 40 t (proprietar cu sediul/domiciliul în Buftea)</t>
  </si>
  <si>
    <t>3,5-5 t (proprietar fără sediu/domiciliu în Buftea)</t>
  </si>
  <si>
    <t>Tarif pentru vehicule ale persoanelor fizice/juridice care nu au sediul sau domiciliul în Buftea.</t>
  </si>
  <si>
    <t>Tabelul pentru nerezidenți e deformat de OCR; valorile au fost reconstituite pe coloane la a doua citire și trebuie verificate pe PDF. Tabelul nerezidenți are doar zi și lună (fără an).</t>
  </si>
  <si>
    <t>5-7,5 t (proprietar fără sediu/domiciliu în Buftea)</t>
  </si>
  <si>
    <t>7,5-12,5 t (proprietar fără sediu/domiciliu în Buftea)</t>
  </si>
  <si>
    <t>12,5-16 t (proprietar fără sediu/domiciliu în Buftea)</t>
  </si>
  <si>
    <t>16-22 t (proprietar fără sediu/domiciliu în Buftea)</t>
  </si>
  <si>
    <t>22-40 t (proprietar fără sediu/domiciliu în Buftea)</t>
  </si>
  <si>
    <t>peste 40 t (proprietar fără sediu/domiciliu în Buftea)</t>
  </si>
  <si>
    <t>comuna Cernica</t>
  </si>
  <si>
    <t>transport greu (prag de masă necunoscut)</t>
  </si>
  <si>
    <t>Tip de taxă listat pe ghiseul.ro: «Autorizatie de transport greu (o zi)». Pe aceeași pagină apare și «TAXA AVIZ ACCES AUTO».</t>
  </si>
  <si>
    <t>Existența taxei e indicată doar de lista de taxe a Cernica pe ghiseul.ro; sumele și pragul de masă nu au fost găsite. HCL 85/2025: https://cernica.informare.ro/wp-content/uploads/2026/01/Hcl-85din23dec2025-taxe-locale-2026.pdf</t>
  </si>
  <si>
    <t>necunoscut</t>
  </si>
  <si>
    <t>Tip de taxă listat pe ghiseul.ro: «Autorizatie de trasport greu (o luna)». Pe aceeași pagină apare și «TAXA AVIZ ACCES AUTO».</t>
  </si>
  <si>
    <t>teritoriul comunei Chiajna (formularul menționează „zona Chiajna”)</t>
  </si>
  <si>
    <t>Autovehicule cu masa totala maxima autorizata cuprinsa intre 7,5-12 tone</t>
  </si>
  <si>
    <t>Actul nu prevede scutiri specifice pentru această taxă (Cap. IX privind scutirile e general). Alte taxe din aceeași anexă: taxa eliberare autorizație transport 316 lei (pct. 15), duplicat 78 lei (pct. 17): nu e clar dacă se aplică autorizației de acces.</t>
  </si>
  <si>
    <t>2025-12-22</t>
  </si>
  <si>
    <t>Valori pentru anul fiscal 2026. Pentru 2025 (Anexa PHCL 68/06.12.2024) valorile erau: 7,5-12 t 70/353/3156; 12,1-16 t 112/563/4792; 16,1-40 t 141/702/6328; &gt;40 t/gabarit 211/1124/10125 lei (zi/lună/an). Pagina registrului: https://emol.ro/chiajna-if/registru-hcl/243692</t>
  </si>
  <si>
    <t>Actul nu delimitează zone, străzi sau puncte de acces.</t>
  </si>
  <si>
    <t>Autovehicule cu masa totala maxima autorizata cuprinsa intre 12,1-16 tone</t>
  </si>
  <si>
    <t>Autovehicule cu masa totala maxima autorizata cuprinsa intre 16,1-40 tone precum si pentru autovehiculele care transporta marfuri si produse periculoase</t>
  </si>
  <si>
    <t>Clasa include și autovehiculele care transportă mărfuri și produse periculoase (textul actului). Actul nu prevede scutiri specifice pentru această taxă (Cap. IX privind scutirile e general). Alte taxe din aceeași anexă: taxa eliberare autorizație transport 316 lei (pct. 15), duplicat 78 lei (pct. 17): nu e clar dacă se aplică autorizației de acces.</t>
  </si>
  <si>
    <t>Autovehicule cu gabarit depasit, precum si pentru autovehiculele care transporta marfuri si produse periculoase cu o masa totala maxima autorizata peste 40tone</t>
  </si>
  <si>
    <t>Clasa vizează autovehicule cu gabarit depășit și autovehicule care transportă mărfuri/produse periculoase cu MTMA peste 40 t. Actul nu menționează explicit autovehiculele obișnuite peste 40 t. Actul nu prevede scutiri specifice pentru această taxă (Cap. IX privind scutirile e general). Alte taxe din aceeași anexă: taxa eliberare autorizație transport 316 lei (pct. 15), duplicat 78 lei (pct. 17): nu e clar dacă se aplică autorizației de acces.</t>
  </si>
  <si>
    <t>străzi cu indicator de restricție 3,5 t</t>
  </si>
  <si>
    <t>3,5-7,5 t</t>
  </si>
  <si>
    <t>trecere</t>
  </si>
  <si>
    <t>Denumire: «Taxa pentru exceţie tonaj»; tarif «lei/cursă». Fără scutiri menționate pentru această taxă.</t>
  </si>
  <si>
    <t>2025-11 (proiect în consultare publică); accesat 2026-10-10</t>
  </si>
  <si>
    <t>Valoare din proiectul de HCL pus în consultare (nr. și data necompletate). HCL adoptată nu a putut fi citită (platforma CityOn nu a returnat lista). Ultima clasă se oprește la 40 t.</t>
  </si>
  <si>
    <t>«străzile din oraşul Chitila pe care au fost montate indicatoare rutiere ”accesul interzis vehiculelor având masa mai mare de 3,5 tone”» (lista străzilor nu este în document)</t>
  </si>
  <si>
    <t>7,5-12,5 t</t>
  </si>
  <si>
    <t>12,5-16 t</t>
  </si>
  <si>
    <t>16-22 t</t>
  </si>
  <si>
    <t>22-40 t</t>
  </si>
  <si>
    <t>Negăsit (nu înseamnă «fără taxă»). Pagina principală și pagina taxe și impozite: nimic. MOL pe asista.ro, necitit. Căutări web fără rezultat.</t>
  </si>
  <si>
    <t>Site-ul nu menționează tonaj/taxă acces; pagina de taxe are doar formulare ITL (inclusiv vehicule peste 12 t). Registrele HCL din eMOL se încarcă dinamic și nu au putut fi citite.</t>
  </si>
  <si>
    <t>Site-ul și pagina de formulare nu conțin nimic despre tonaj/acces. HCL-urile 2025/2026 nu au fost localizate (eMOL: https://emol.ro/clinceni-if/, încărcare dinamică). primariaclinceni.ro refuză fetch.</t>
  </si>
  <si>
    <t>Site-ul refuză fetch (robots.txt); comuna nu e client activ eMOL. Nicio informație verificată.</t>
  </si>
  <si>
    <t>străzile din Anexa A la Regulament</t>
  </si>
  <si>
    <t>3,5-5 t (nerezidenți)</t>
  </si>
  <si>
    <t>nespecificat</t>
  </si>
  <si>
    <t>Art. 5 (nerezidenți). Scutiri (art. 4): echipe reparații drumuri/utilități, tractări, Poșta Română și curierat, firme de salubrizare cu sediul în Corbeanca, transport mărfuri periculoase, servicii de urgență și ordine publică, vehicule cu contract cu autoritatea locală. Până la 3,5 t: scutit. Amenzi 3.000-4.000 lei (art. 12-13).</t>
  </si>
  <si>
    <t>necunoscută; accesat 2026-10-10</t>
  </si>
  <si>
    <t>Regulament vechi publicat pe site-ul primăriei; HCL nr. ilizibil. În martie 2026 s-a supus consultării un regulament nou «taxa specială... vehiculelor cu masa totală maximă autorizată mai mare de 5 tone» (ordinea de zi CL 31.03.2026, pct. 12). Centralizatorul autorizațiilor emise mai-iunie 2026 folosește clasele 5-7,5 / 7,6-12,5 / 12,6-16 / 16,1-22 / 22,1-40 / 40+ t, deci aceste valori pot fi înlocuite.</t>
  </si>
  <si>
    <t>Art. 3: acces interzis pe străzile din Anexa A (anexa nu e inclusă în textul citit); excepție: «drumului judetean DJ 101 Petresti-Buftea (Soseaua Unirii)».</t>
  </si>
  <si>
    <t>5-7,5 t (nerezidenți)</t>
  </si>
  <si>
    <t>7,5-12,5 t (nerezidenți)</t>
  </si>
  <si>
    <t>12,5-16 t (nerezidenți)</t>
  </si>
  <si>
    <t>16-22 t (nerezidenți)</t>
  </si>
  <si>
    <t>22-40 t (nerezidenți)</t>
  </si>
  <si>
    <t>peste 40 t (nerezidenți)</t>
  </si>
  <si>
    <t>Regulament vechi publicat pe site-ul primăriei; HCL nr. ilizibil. În martie 2026 s-a supus consultării un regulament nou «taxa specială... vehiculelor cu masa totală maximă autorizată mai mare de 5 tone» (ordinea de zi CL 31.03.2026, pct. 12). Centralizatorul autorizațiilor emise mai-iunie 2026 folosește clasele 5-7,5 / 7,6-12,5 / 12,6-16 / 16,1-22 / 22,1-40 / 40+ t, deci aceste valori pot fi înlocuite. Unitatea pentru clasa peste 40 t e neclară în scan.</t>
  </si>
  <si>
    <t>3,5-5 t (rezidenți Corbeanca)</t>
  </si>
  <si>
    <t>Art. 6 (rezidenți). Scutiri (art. 4): echipe reparații drumuri/utilități, tractări, Poșta Română și curierat, firme de salubrizare cu sediul în Corbeanca, transport mărfuri periculoase, servicii de urgență și ordine publică, vehicule cu contract cu autoritatea locală. Până la 3,5 t: scutit. Amenzi 3.000-4.000 lei (art. 12-13).</t>
  </si>
  <si>
    <t>5-7,5 t (rezidenți Corbeanca)</t>
  </si>
  <si>
    <t>7,5-12,5 t (rezidenți Corbeanca)</t>
  </si>
  <si>
    <t>12,5-16 t (rezidenți Corbeanca)</t>
  </si>
  <si>
    <t>16-22 t (rezidenți Corbeanca)</t>
  </si>
  <si>
    <t>22-40 t (rezidenți Corbeanca)</t>
  </si>
  <si>
    <t>peste 40 t (rezidenți Corbeanca)</t>
  </si>
  <si>
    <t>comuna Corbeanca (regulament 2026)</t>
  </si>
  <si>
    <t>peste 5 t (regulament 2026)</t>
  </si>
  <si>
    <t>Clase în centralizator: 5-7,5; 7,6-12,5; 12,6-16; 16,1-22; 22,1-40; 40+ t. Majoritatea autorizațiilor sunt pe o zi.</t>
  </si>
  <si>
    <t>Nespecificat pe pagina de consultare.</t>
  </si>
  <si>
    <t>Proiect de hotărâre privind aprobarea Regulamentului de instituire a taxei speciale pentru eliberarea autorizației de circulație pentru vehiculele cu masa totală maximă autorizată mai mare de 5 tone (consultare 16-27.03.2026; pe ordinea de zi CL 31.03.2026); HCL adoptată negăsită</t>
  </si>
  <si>
    <t>2026-03-19; accesat 2026-10-10</t>
  </si>
  <si>
    <t>https://pcc.ro/consultare-publica-taxa-de-tonaj/</t>
  </si>
  <si>
    <t>Sumele noului regulament nu au fost găsite. Centralizator autorizații: https://docs.google.com/spreadsheets/d/1RR0XnvWzBAke_Ef4OHwK3s_WQDrrJQkhY-KKkvK3J7Q (coloana Valoare goală).</t>
  </si>
  <si>
    <t>Centralizatorul 2026 indică pe autorizație străzi anume sau «TOATE STRAZILE PUBLICE».</t>
  </si>
  <si>
    <t>Nicio mențiune despre tonaj/acces pe site; formulare doar ITL (inclusiv vehicule peste 12 t). Registrul HCL e pe eMOL (https://emol.ro/cornetu-if/registru-hcl/), încărcare dinamică, necitit.</t>
  </si>
  <si>
    <t>Negăsit (nu înseamnă «fără taxă»). Site-ul primăriei (primariadascalu.ro) blocat pentru citire (robots). Căutări web fără rezultat.</t>
  </si>
  <si>
    <t>Negăsit (nu înseamnă «fără taxă»). Lista ghiseul.ro fără taxă de acces sau tranzit. HCL 139/23.12.2025 (taxe 2026) + anexa 139a și HCL 9/12.03.2026 sunt necitibile (OCR corupt/scan). Raportul de specialitate pentru taxele 2025 nu prevede taxă de acces.</t>
  </si>
  <si>
    <t>2026-01-29</t>
  </si>
  <si>
    <t>Lista HCL 2026 (nr. 1-112) nu are titluri despre tonaj/acces; HCL 6/2026 (taxe speciale) stabilește doar taxe de urgență pentru documente. Nu am găsit HCL-ul de impozite și taxe pentru 2026 (adoptat probabil în 2025, arhiva 2025 nu e publicată pe site). Nici formular de autorizare acces. HCL 3/2013 (taxe 2013) nu avea taxă de acces.</t>
  </si>
  <si>
    <t>Niciun titlu HCL 2025/2026 despre tonaj/acces; nici formular de autorizare. HCL 56/2025 (taxe 2026) e PDF scanat; trebuie verificat manual dacă are capitol de taxă acces.</t>
  </si>
  <si>
    <t>Nicio mențiune despre tonaj/acces pe site. Categoria HCL 2025 de pe site afișează doar o hotărâre (tarife salubrizare); HCL taxe 2026 nelocalizat.</t>
  </si>
  <si>
    <t>Pagina de formulare nu are cerere de autorizație acces/tonaj (doar declarație fiscală pentru vehicule peste 12 t). Listele HCL au doar număr și dată; HCL 106/11.12.2025 și 108/22.12.2025 verificate sunt scanate (fără text). HCL taxe 2026 nedeterminat (probabil între HCL 106-118 din dec. 2025).</t>
  </si>
  <si>
    <t>Negăsit (nu înseamnă «fără taxă»). Pagina principală și MOL (prima pagină din 118): nimic despre tonaj sau acces. Căutarea în MOL nu a returnat rezultate.</t>
  </si>
  <si>
    <t>Negăsit (nu înseamnă «fără taxă»). Site-ul Primăriei Grădiștea, Ilfov, nu a fost identificat (primariagradistea.ro pare a fi Grădiștea, jud. Călărași, prefix 0242).</t>
  </si>
  <si>
    <t>Negăsit (nu înseamnă «fără taxă»). Site-ul Primăriei Găneasa, Ilfov, nu a fost identificat (primariaganeasa.ro aparține comunei Găneasa, jud. Olt). Căutări web fără rezultat.</t>
  </si>
  <si>
    <t>Străzi cu restricție de tonaj 7,5 tone</t>
  </si>
  <si>
    <t>restricție de tonaj 7,5 tone (autorizație transport 7,5 tone)</t>
  </si>
  <si>
    <t>2020-09-17</t>
  </si>
  <si>
    <t>Sursa este pagina oficială a primăriei (anunț din 17.09.2020), nu actul normativ. Lista de străzi e redată din pagină/atașamentul „Strazi restrictie 7,5 tone.docx”. Sumele sunt în http://primariajilava.ro/wp-content/uploads/2020/09/Taxe%20acces%207,%205%20tone.docx, pe care nu l-am putut citi (fișier .docx binar). HCL-ul de bază și actualitatea lui (2020) trebuie verificate.</t>
  </si>
  <si>
    <t>Crinului, Garoafei, Lalelei, Merilor, Panselei, Zorelelor, Nicolae Bălcescu, Trifoiului, Vasile Roaita, 23 August (fostă Nicolae Simionescu), Morii (prelungire, cu excepția DJ 401A), Odăi, Salcâmilor, Tineretului, Gării (între DNCB și str. Ungureni), Pantei, Prelungirea Ungureni, Toamnei, Ciulini, Fagului, Narciselor, Nuferilor, Piersicilor, Prelungirea Verii (drum între str. Verii și str. Libertății, intersectat cu Ciulini), Putuiul lui Gavril, Trandafirilor, Verii, Aleea Dumbravei, Magnoliei, Gabrului, Merișor, Primăverii</t>
  </si>
  <si>
    <t>Străzi cu restricție de tonaj 3,5 tone</t>
  </si>
  <si>
    <t>restricție de tonaj 3,5 tone</t>
  </si>
  <si>
    <t>Nu este citat pe pagină.</t>
  </si>
  <si>
    <t>Pagina oficială (17.09.2020) anunță „Autorizatii transport 7,5 tone si 3,5 tone”, dar documentul de taxe atașat se numește doar „Taxe acces 7, 5 tone”; nu e clar dacă pe aceste 2 străzi se emite autorizație cu plată sau e doar restricție. Postarea din 09.07.2020 despre Drumul între Vii spune că pot circula vehiculele sub 3,5 t.</t>
  </si>
  <si>
    <t>Drum pe lângă vii; Libertății</t>
  </si>
  <si>
    <t>Negăsit (nu înseamnă «fără taxă»). Site-ul primăriei (primariamoaravlasiei.ro) blocat pentru citire (robots). Căutări web fără rezultat.</t>
  </si>
  <si>
    <t>Negăsit (nu înseamnă «fără taxă»). Site-ul primăriei blocat pentru citire (robots); căutarea a găsit doar titluri (HCL 199/23.12.2024, proiect HCL 181/24.12.2025), fără conținut. emol.ro/mogosoaia-if fără documente.</t>
  </si>
  <si>
    <t>2026-07</t>
  </si>
  <si>
    <t>Existența unui regim de autorizare pe tonaj este indicată de formularul Poliției Locale, dar actul (HCL), clasele și sumele nu au fost găsite. Listele HCL 2025/2026 de pe site au doar număr și dată, iar PDF-urile din /wp-content/ sunt blocate pentru fetch. De verificat HCL taxe 2026 (probabil HCL 122/123 din 17.12.2025 sau 112-121 din 26.11.2025).</t>
  </si>
  <si>
    <t>Negăsit (nu înseamnă «fără taxă»). Site-ul primăriei (primarianuci.ro) blocat pentru citire (robots). Căutări web fără rezultat.</t>
  </si>
  <si>
    <t>Negăsit (nu înseamnă «fără taxă»). Căutări web (taxă acces/autorizație/tonaj Otopeni); pagina taxe și impozite; HCL 57/17(19).12.2024 (taxe 2025) și HCL 71/27.12.2023 (taxe 2024) sunt PDF scanate, necitibile; eTAX fără serviciu de acces; pagina Transport și lista HCL blocate (robots); emol.ro/otopeni-if fără documente. Nu s-a găsit nici confirmare, nici infirmare.</t>
  </si>
  <si>
    <t>Negăsit (nu înseamnă «fără taxă»). Pagina Transporturi și Regulamente transport: fără taxă de acces. Lista ghiseul.ro: fără tip de taxă de acces (apar «Mijloace de transport &gt; 12 tone», «Taxa interventie carosabil»). HCL 205/2025 și 214/2025 (taxe 2026) și HCL 264/18.12.2024 (taxe 2025) sunt PDF scanate, necitibile.</t>
  </si>
  <si>
    <t>Negăsit (nu înseamnă «fără taxă»). Site-ul primăriei (primariaperis.ro) blocat pentru citire (robots). Căutări web fără rezultat.</t>
  </si>
  <si>
    <t>Negăsit (nu înseamnă «fără taxă»). Site-ul primăriei (primariapetrachioaia.ro) blocat pentru citire (robots). Căutări web fără rezultat.</t>
  </si>
  <si>
    <t>Căutările web nu au returnat acte; site-ul primăriei și cel presupus al Poliției Locale refuză fetch (robots.txt); popestileordeni.ro și popesti-leordeni.ro nu sunt site-uri oficiale. Nicio informație verificată.</t>
  </si>
  <si>
    <t>Negăsit (nu înseamnă «fără taxă»). Site-ul primăriei (primariasnagov.ro) blocat pentru citire (robots). Căutări web fără rezultat.</t>
  </si>
  <si>
    <t>Negăsit (nu înseamnă «fără taxă»). Pagina principală: nimic despre tonaj sau acces. Registrul HCL pe emol.ro/tunari-if (107 documente) se încarcă dinamic, necitibil. Site-ul vechi primariatunari.ro blocat (robots). Căutări web fără rezultat.</t>
  </si>
  <si>
    <t>2025-12-18</t>
  </si>
  <si>
    <t>Anexa de taxe 2026 a fost citată: conține doar impozitul anual pe mijloace de transport (art. 470 alin. 5-7), fără taxă de acces/utilizare drumuri. Actul nu spune explicit „fără taxă”, deci nu s-a marcat ca atare; un regulament separat nu a fost găsit. Postare: https://primaria-vidra.ro/taxe-suplimentare-fata-de-cele-legale-pentru-anul-fiscal-2026-uat-vidra/</t>
  </si>
  <si>
    <t>oraș Voluntari</t>
  </si>
  <si>
    <t>5-7,5 t</t>
  </si>
  <si>
    <t>Plată în contul Primăriei Orașului Voluntari, Trezoreria Ilfov, C.F. 4283481.</t>
  </si>
  <si>
    <t>2013 (HCL); accesat 2026-10-10</t>
  </si>
  <si>
    <t>Tabel oficial publicat de Poliția Locală Voluntari, nu textul HCL (HCL 71/2013 este PDF scanat, necitibil). Valori din 2013; indexarea/actualizarea ulterioară nu a putut fi verificată. Există și fișierele «tabel_taxe_autovehicule_grele-2.pdf» și «taxe-autovehicule-grele-str-e-racovita-si-popasului.pdf», inaccesibile (redirect). Nu există valoare anuală în tabel.</t>
  </si>
  <si>
    <t>Tabelul citit nu enumeră străzi. Pagina Poliției Locale Voluntari are titlul: «Taxe pentru obtinerea autorizatiilor de circulatie pentru autovehiculele grele in orasul Voluntari,pentru străzile Emil Racovita și Popasului».</t>
  </si>
  <si>
    <t>săptămână</t>
  </si>
  <si>
    <t>Negăsit (nu înseamnă «fără taxă»). Site-ul primăriei (primariastefanestiidejos.ro) blocat (robots). Registrul HCL de pe emol.ro (78 documente) se încarcă dinamic, nu a putut fi citit. Căutări web fără rezultat.</t>
  </si>
  <si>
    <t>Raza municipiului (în afara Zonei 0)</t>
  </si>
  <si>
    <t>autocamion/autoutilitară/cap tractor/utilaj autopropulsat, 5-7,5 t</t>
  </si>
  <si>
    <t>Tranzit permis 07:00-17:00 (program zi) și 22:00-06:00 (program noapte), conform sursei secundare.</t>
  </si>
  <si>
    <t>Restricție pentru vehicule de marfă cu MTMA peste 5 t. Riverani (sediu/punct de lucru în zona restricționată) și firme cu contract de servicii publice cu Primăria: autorizație cu taxă 0.</t>
  </si>
  <si>
    <t>bursatransport 19-06-2026 (tarife 2026)</t>
  </si>
  <si>
    <t>Tarife 2026 din sursă secundară; tabelul sursei este aplatizat, iar corespondența coloanelor (în afara Zonei 0 / Zona 0) este dedusă, de verificat. Tarif 0 lei/zi și 0 lei/lună în afara Zonei 0.</t>
  </si>
  <si>
    <t>Raza municipiului Alba Iulia, în afara Zonei 0 și a traseelor de tranzit (a: DN 1 - Pod Mureș - Reg. V Vânători - Șos. de centură - DN 1; b: DN 74 - str. Zlatnei (Micești) - Calea Moților - bd. Republicii - bd. T. Vladimirescu - Șos. Clujului (Al. I. Cuza) - Pod Ampoi - Șos. de centură - DN 1).</t>
  </si>
  <si>
    <t>Zona 0</t>
  </si>
  <si>
    <t>Tarife 2026 din sursă secundară; tabelul sursei este aplatizat, iar corespondența coloanelor (în afara Zonei 0 / Zona 0) este dedusă, de verificat.</t>
  </si>
  <si>
    <t>Zona 0 (Cetatea Alba Carolina): limite oficiale negăsite; o știre din 2021 despre proiectul de regulament menționa străzile Mihai Viteazul, Unirii, Păcii, Gabriel Bethlen, Mitropolit Andrei Șaguna, Militari, Aleea Sf. Capistrano.</t>
  </si>
  <si>
    <t>autocamion/autoutilitară/cap tractor/utilaj autopropulsat, 7,5-20 t</t>
  </si>
  <si>
    <t>autocamion/autoutilitară/cap tractor/utilaj autopropulsat, 20-40 t</t>
  </si>
  <si>
    <t>autocamion/autoutilitară/cap tractor/utilaj autopropulsat, peste 40 t</t>
  </si>
  <si>
    <t>remorcă/semiremorcă/utilaj neautopropulsat, 5-7,5 t</t>
  </si>
  <si>
    <t>remorcă/semiremorcă/utilaj neautopropulsat, 7,5-20 t</t>
  </si>
  <si>
    <t>remorcă/semiremorcă/utilaj neautopropulsat, 20-40 t</t>
  </si>
  <si>
    <t>remorcă/semiremorcă/utilaj neautopropulsat, peste 40 t</t>
  </si>
  <si>
    <t>transport agabaritic</t>
  </si>
  <si>
    <t>Tarife 2026 din sursă secundară; tabelul sursei este aplatizat, iar corespondența coloanelor (în afara Zonei 0 / Zona 0) este dedusă, de verificat. Separat, sursa menționează o taxă fixă de 400 lei pentru vehicule agabaritice peste 42 t.</t>
  </si>
  <si>
    <t>Trasee de tranzit a) și b)</t>
  </si>
  <si>
    <t>Tranzit fără permis de liberă trecere (sursă secundară).</t>
  </si>
  <si>
    <t>a) direcția Sebeș-Cluj: DN 1, Pod Mureș, Reg. V Vânători, Șos. de centură, DN 1; b) direcțiile Zlatna-Cluj și Zlatna-Sebeș: DN 74, str. Zlatnei (Micești), Calea Moților, bd. Republicii, bd. T. Vladimirescu, Șos. Clujului (Al. I. Cuza), Pod Ampoi, Șos. de centură, DN 1.</t>
  </si>
  <si>
    <t>Zona A</t>
  </si>
  <si>
    <t>peste 3,5 t până la 7,5 t inclusiv</t>
  </si>
  <si>
    <t>3,5-7,5 t: acces în toată Zona B; peste 7,5 t: doar pe traseele din Anexa 3 (lit. B, D1, E2, F, G). Zona A nu poate fi accesată cu autorizația «în aceeași zi» acordată în afara programului. Străzile Mărului și Sabinelor: restricție peste 2 t, nu se poate cumpăra online (art. 10 alin. 4).</t>
  </si>
  <si>
    <t>2022-11-08</t>
  </si>
  <si>
    <t>Data sursei aproximată după ultima modificare (HCLM 592/2022); anexa de tarife nu are dată proprie.</t>
  </si>
  <si>
    <t>1. Str. Renașterii (exclusiv) - Str. Voinicilor (exclusiv) - Str. Caius Lepa - Str. Marginei (până la intersecția cu str. Renașterii); 2. Str. Renașterii (exclusiv) - Str. Voinicilor (exclusiv) - Str. Caius Lepa - Calea Radnei (până la intersecția cu str. Renașterii); 3. Calea Radnei (de la intersecția cu str. Renașterii) - Str. Dosoftei - Str. Păstorului (exclusiv) - Str. Lipovei (exclusiv) - Str. Prutului (exclusiv); 4. Bd. Nicolae Titulescu (exclusiv) - Bd. Iuliu Maniu (inclusiv pasajul rutier Micălaca) - Str. Plugarilor - Str. Neculce - Str. Onisifor Ghibu - Pasaj Grădiște - Str. Nelu Aristide Dragomir - Bd. Revoluției - Str. Corneliu Coposu (până la intersecția cu Str. Miron Costin) - Str. Banu Mărăcine (exclusiv) - Str. Andrei Șaguna (exclusiv) - Str. Mihail Kogălniceanu (exclusiv) - Str. Dornei - Calea Romanilor - Splaiul Toth Sandor - Bd. General Ion Dragalina - Splaiul General Praporgescu - Splaiul General Gheorghe Magheru; 5. Str. Cetății (exclusiv) - Str. Diogene - Str. Pompei (exclusiv) - Str. Troiei (exclusiv), Str. Eugen Popa (exclusiv), legătura rutieră dintre Cartierele Aradul Nou și Micălaca (exclusiv)</t>
  </si>
  <si>
    <t>Zona B</t>
  </si>
  <si>
    <t>Zona B cuprinde străzile din municipiul Arad care nu fac parte din zona A, inclusiv traseele prevăzute în Anexa 3 - lit. B2, D1, E2, F și G</t>
  </si>
  <si>
    <t>peste 7,5 t până la 20 t inclusiv</t>
  </si>
  <si>
    <t>peste 20 t până la 40 t inclusiv</t>
  </si>
  <si>
    <t>Trasee cu plată din Anexa 3</t>
  </si>
  <si>
    <t>Pentru clasele 7,5-20 t și 20-40 t tabelul nu dă valori pe traseele din Anexa 3.</t>
  </si>
  <si>
    <t>Anexa 3 la HCLM 303/2016 - Trasee de tranzit și trasee de urmat pentru accesul în zonele industriale (vezi URL în note)</t>
  </si>
  <si>
    <t>Există un «acord de circulație» (formulare 2026), dar nu s-a putut confirma că privește tonajul și nici tarifele. Pagina de tarife servicii publice nu conține taxe de acces.</t>
  </si>
  <si>
    <t>Pagina Comisiei de circulație (HCL 88/31.03.2021) privește avize de circulație pentru proiecte, nu permise de tonaj. Lista HCL (fisiere.municipiulbacau.ro) se încarcă dinamic; politialocalabc.ro blocat (robots).</t>
  </si>
  <si>
    <t>Zona A (zonă cu restricții pentru trafic greu)</t>
  </si>
  <si>
    <t>autovehicule de trafic greu (prag de tonaj nespecificat în anexă)</t>
  </si>
  <si>
    <t>Indicatoarele pentru trafic greu trebuie respectate și cu autorizație valabilă. Există și autorizație de 12 ore, doar prin SMS: 8 € (include taxa operatorului de telefonie).</t>
  </si>
  <si>
    <t>2025-12</t>
  </si>
  <si>
    <t>Tarife identice în 2025 și 2026. Regulamentul de bază (HCL cu zonele și pragul de masă) negăsit.</t>
  </si>
  <si>
    <t>Negăsit (portalul afișează doar o hartă imagine)</t>
  </si>
  <si>
    <t>Indicatoarele pentru trafic greu trebuie respectate și cu autorizație valabilă.</t>
  </si>
  <si>
    <t>Zonele A și B cu restricție de tonaj</t>
  </si>
  <si>
    <t>2,5-3,5 t (program noapte)</t>
  </si>
  <si>
    <t>Zona A: program zi 06:00-21:00 și noapte 21:00-06:00 conform platformei GlobalPay a municipiului (sursa secundară indică 06:00-20:00 / 20:00-06:00); intervalele sunt maxime și pot fi reduse de primărie.</t>
  </si>
  <si>
    <t>Zona A: restricție peste 2,5 t; Zona B: peste 3,5 t. Reducere 50% pentru vehicule folosite exclusiv la transport alimente perisabile (lapte și brânzeturi, carne, pâine) cu autorizație sanitar-veterinară. Lucrări contractate cu municipiul: fără permis pe durata lucrărilor, cu listă de vehicule depusă la Poliția Locală. Lucrări de utilitate publică: permise doar pe durata lucrărilor, pro rata sub 1 an.</t>
  </si>
  <si>
    <t>bursatransport 19-06-2026 (tarife 2026); HCL 61/2014</t>
  </si>
  <si>
    <t>Tarif 2026 din sursă secundară; zona (A/B) pentru care se aplică fiecare tarif nu este diferențiată în sursă.</t>
  </si>
  <si>
    <t>Zona A (centrul istoric): delimitată de străzile Bistricioarei, Vasile Conta, Parcului, Alexandru Odobescu, Gheorghe Șincai și Dornei (exclusiv zona pietonală Liviu Rebreanu, reglementată de HCL 119/2006). Zona B (cartierele adiacente): bucla Armoniei, Simfoniei, I. Perlea, Calea Clujului, Sigmirului, Industriei, Arțarilor, Romană, Zefirului, Subcetate, Drumul Cetății, Lucian Blaga, Calea Moldovei, Avram Iancu, I. Minulescu, I. Rațiu, Simion Bărnuțiu, P. Maior, Libertății.</t>
  </si>
  <si>
    <t>3,501-12 t (program noapte)</t>
  </si>
  <si>
    <t>peste 12 t (program noapte)</t>
  </si>
  <si>
    <t>2,5-3,5 t (program zi)</t>
  </si>
  <si>
    <t>Tarif 2026 din sursă secundară; zona (A/B) pentru care se aplică fiecare tarif nu este diferențiată în sursă. Sursa scrie „până la 3,5 t” pentru abonamentul anual de zi.</t>
  </si>
  <si>
    <t>3,501-12 t (program zi)</t>
  </si>
  <si>
    <t>peste 12 t (program zi)</t>
  </si>
  <si>
    <t>peste 2,5 t (24 ore)</t>
  </si>
  <si>
    <t>Autorizație zilnică 24 h, tarif 2026 din sursă secundară.</t>
  </si>
  <si>
    <t>Străzi deschise fără permis de liberă trecere</t>
  </si>
  <si>
    <t>peste 3,5 t</t>
  </si>
  <si>
    <t>Din sursă secundară; neconfirmat din regulamentul anexat HCL 61/2014 (anexa nu a putut fi citită).</t>
  </si>
  <si>
    <t>Calea Clujului, Drumul Cetății, Simion Mândrescu, Lucian Blaga, Sigmirului (până la Industriei), Industriei, Tărpiului (până la Industriei), Dimitrie Cantemir, Romană, Zefirului, Subcetate (până la Zefirului).</t>
  </si>
  <si>
    <t>Zona restricționată (interiorul centurii stradale)</t>
  </si>
  <si>
    <t>peste 3,5 t până la 5,5 t inclusiv</t>
  </si>
  <si>
    <t>Aprovizionarea agenților economici permisă numai 05:00-07:00 și 18:00-22:00 (art. 6 alin. 7, HCL 70/2011).</t>
  </si>
  <si>
    <t>Taxa se plătește anticipat, pentru cel puțin 30 de zile. Interdicția vizează autovehicule de marfă peste 3,5 t și tractoare de orice tip (art. 6 alin. 1); excepție: transport public local de călători (maxi taxi). Beneficiarul mărfii trebuie să dețină „autorizație de acces liber la purtător” cu taxă semestrială (art. 6 alin. 4; valoare negăsită).</t>
  </si>
  <si>
    <t>HCL 602/23.12.2025, aplicabil 2026</t>
  </si>
  <si>
    <t>Tarif lei/autovehicul/zi, plătit anticipat pentru minimum 30 de zile (minim efectiv 30 x tarif zilnic). Actul spune „până la 5,5 t inclusiv”; pragul de 3,5 t vine din art. 6 HCL 70/2011.</t>
  </si>
  <si>
    <t>Perimetrul format de centura stradală (Anexa 2 la HCL 70/2011): Sucevei - Uzinei - Împ. Traian (tronson Uzinei-T. Vladimirescu) - T. Vladimirescu - I.C. Brătianu (tronson Dragoș Vodă-Petru Rareș) - Petru Rareș - Maior Ignat - Viilor - M. Kogălniceanu (tronson Viilor-G. Enescu) - Ocolitor Pacea (tronson G. Enescu-Sucevei). De asemenea: str. Săvenilor (tronson T. Vladimirescu-Împ. Traian) și toate aleile de deservire a blocurilor din afara centurii.</t>
  </si>
  <si>
    <t>peste 5,5 t până la 10,5 t inclusiv</t>
  </si>
  <si>
    <t>peste 10,5 t până la 20 t inclusiv</t>
  </si>
  <si>
    <t>peste 20 t</t>
  </si>
  <si>
    <t>Per transport agabaritic.</t>
  </si>
  <si>
    <t>Unitatea nu este precizată separat în act; listat ca tarif pentru fiecare transport agabaritic.</t>
  </si>
  <si>
    <t>Municipiul Brașov - străzi cu restricții (program de noapte)</t>
  </si>
  <si>
    <t>sub 3,5 t</t>
  </si>
  <si>
    <t>permis pentru program de noapte</t>
  </si>
  <si>
    <t>Reducere 50%: produse alimentare perisabile cu autorizație sanitar-veterinară; agenți economici cu contracte de servicii cu administrația locală. Perioadele sub un an se taxează fracționat din tariful anual, minimum 3 luni.</t>
  </si>
  <si>
    <t>2025</t>
  </si>
  <si>
    <t>Tarife 2025 (TAXE LT_2025.pdf). PDF-ul pentru 2026 (ALTE TAXE LOCALE 2026.pdf, HCL 222/2025) este scanat și nu a putut fi citit; valorile 2026 pot diferi.</t>
  </si>
  <si>
    <t>Străzile cu restricții de circulație din municipiu (vezi zonele din HCL 779/2021 în note)</t>
  </si>
  <si>
    <t>Municipiul Brașov - străzi cu restricții (program de zi)</t>
  </si>
  <si>
    <t>permis pentru program de zi</t>
  </si>
  <si>
    <t>Municipiul Brașov - străzi cu restricții</t>
  </si>
  <si>
    <t>Plus suplimente zilnice pe tonă în zona istorică, Poiana Brașov și alte străzi (vezi înregistrările separate).</t>
  </si>
  <si>
    <t>Zona istorică (supliment)</t>
  </si>
  <si>
    <t>pentru fiecare tonă peste 5 t, până la 10 t</t>
  </si>
  <si>
    <t>Supliment în lei/zi pentru fiecare tonă peste prag, adăugat la permis. Zona istorică: vehicule 3,5-16 t. Poiana: masa totală max. 27 t dovedită cu bon de cântar (str. Stadionului, intersecția Titan) conform HCL 779/2021.</t>
  </si>
  <si>
    <t>străzile de acces din Bd. Eroilor spre Schei, străzile din Schei și Prundul Brașovului; zona delimitată de str. Nicolae Iorga, Iuliu Maniu, Alexandru Ioan Cuza, Bisericii Române și Lungă</t>
  </si>
  <si>
    <t>pentru fiecare tonă peste 10 t, până la 16 t</t>
  </si>
  <si>
    <t>Drumul Brașov - Poiana Brașov și străzile din Poiana Brașov (supliment)</t>
  </si>
  <si>
    <t>pentru fiecare tonă peste 10 t</t>
  </si>
  <si>
    <t>Calea Poienii, Drumul Brașov-Poiana Brașov, străzile din Poiana Brașov</t>
  </si>
  <si>
    <t>Celelalte străzi cu interdicții de circulație (supliment)</t>
  </si>
  <si>
    <t>pentru fiecare tonă peste 26 t</t>
  </si>
  <si>
    <t>străzile cu restricții conform art. 7.5 din HCL 779/2021</t>
  </si>
  <si>
    <t>Permise online - Supermarket/Hipermarket/Fabrici</t>
  </si>
  <si>
    <t>vehicule până la 42 t inclusiv</t>
  </si>
  <si>
    <t>Semestrial: 135621 lei. Taxa pentru eliberarea on-line a permiselor; aplicare (per beneficiar/vehicul) neclară din tabel.</t>
  </si>
  <si>
    <t>trimestru</t>
  </si>
  <si>
    <t>Taxa pentru eliberarea on-line a permiselor; aplicare (per beneficiar/vehicul) neclară din tabel.</t>
  </si>
  <si>
    <t>Permise online - Platforme industriale (alți comercianți)</t>
  </si>
  <si>
    <t>Semestrial: 16161 lei. Taxa pentru eliberarea on-line a permiselor; aplicare (per beneficiar/vehicul) neclară din tabel.</t>
  </si>
  <si>
    <t>Zona centrală</t>
  </si>
  <si>
    <t>Anexa 2 (orar) din HCL 779/2021 negăsită; proiectul din 2018 prevedea 06:00-08:00 aprovizionare în zona centrală</t>
  </si>
  <si>
    <t>Zona centrală: permise doar pentru vehicule până la 3,5 t (aprovizionare și transport valori).</t>
  </si>
  <si>
    <t>2021</t>
  </si>
  <si>
    <t>https://serviciielectronice.brasovcity.ro/cmsSE/media/acte_necesare/Regulament%20pentru%20eliberarea%20si%20utilizarea%20permiselor%20de%20libera%20trecere%20prin%20HCL%20779-2021%20.pdf</t>
  </si>
  <si>
    <t>Interdicția derivă din definiția zonei (vehicule până la 3,5 t).</t>
  </si>
  <si>
    <t>străzile Republicii, Michael Weiss, Sfântul Ioan, Mihail Sadoveanu, Diaconu Coresi, Johann Gott, Postăvarului, Politehnicii, Apollonia Hirscher, Valentin Wagner; Piața Sfatului; Piața Enescu; Aleea Tiberiu Brediceanu</t>
  </si>
  <si>
    <t>Municipiul Brăila - străzi cu restricție de tonaj</t>
  </si>
  <si>
    <t>3,5 t - 5 t inclusiv</t>
  </si>
  <si>
    <t>Taxa specială pentru eliberarea permisului de acces auto (P.AA).</t>
  </si>
  <si>
    <t>2025-12-29</t>
  </si>
  <si>
    <t>Valori confirmate și pe https://www.primariabraila.ro/taxa-tonaj.</t>
  </si>
  <si>
    <t>Străzile cu restricție conform HCLM 292/2025 (PDF scanat, nelizibil automat). Ghid străzi trafic greu: https://www.primariabraila.ro/wp-content/uploads/2018/taxe%20online/plata%20taxa%20tonaj/trafic%20greu%202020%20aprilie.pdf (scanat)</t>
  </si>
  <si>
    <t>perioada «lună» = 30 de zile. Taxa specială pentru eliberarea permisului de acces auto (P.AA).</t>
  </si>
  <si>
    <t>5 t - 10 t inclusiv</t>
  </si>
  <si>
    <t>10 t - 15 t inclusiv</t>
  </si>
  <si>
    <t>Valori confirmate și pe https://www.primariabraila.ro/taxa-tonaj. Limita «10-15 t» apare în OCR ca «1 Ot ~i 1St».</t>
  </si>
  <si>
    <t>15 t - 20 t inclusiv</t>
  </si>
  <si>
    <t>20 t - 30 t inclusiv</t>
  </si>
  <si>
    <t>peste 30 t</t>
  </si>
  <si>
    <t>Raza municipiului Buzău</t>
  </si>
  <si>
    <t>7,5-12,0 t</t>
  </si>
  <si>
    <t>Sursa secundară indică program standard 06:00-09:00 și 18:00-22:00 (zi) și 22:00-06:00 (noapte), fără a preciza dacă sunt intervale permise sau interzise; textul proiectului HCL 2016 nu prevede orar.</t>
  </si>
  <si>
    <t>Peste 16 t, agabaritice și mărfuri periculoase: traseul în municipiu se înscrie în autorizație (art. 3). Accesul pe alte drumuri doar pentru aprovizionare/comercializare sau prestări servicii.</t>
  </si>
  <si>
    <t>Tarife 2026: bursatransport 19-06-2026; text de bază: proiect HCL 2016</t>
  </si>
  <si>
    <t>Valoare 2026 din sursă secundară. Valoarea inițială din proiectul HCL 2016 (oficial): 50 lei. Scutiți (art. 5 proiect): ISU Buzău, IPJ, IJJ, RAM Buzău, Compania de Apă SA, Prestcom Serv SA, Urbis-Serv SRL.</t>
  </si>
  <si>
    <t>Toate arterele de circulație din municipiul Buzău (art. 1), cu excepția traseelor din art. 2: a) Șos. Brăilei, Aleea Industriilor, str. Aurel Vlaicu, str. Șantierului, str. Urziceni, str. Dimitrie Filipescu, Șos. Spătaru, Șos. Pogoanele, Pasaj Drăgaica, parțial bd. 1 Decembrie 1918, str. Unirii (până la ieșirea spre Ploiești), ambele sensuri; b) str. Transilvaniei, de la intrarea dinspre DN 10 până la intersecția cu bd. Nicolae Titulescu; c) Șos. Brăilei, str. Horticolei, parțial str. Dorobanți, Centura de Est (până la Pod Mărăcineni) (art. 2).</t>
  </si>
  <si>
    <t>Valoare 2026 din sursă secundară. Valoarea inițială din proiectul HCL 2016 (oficial): 250 lei. Scutiți (art. 5 proiect): ISU Buzău, IPJ, IJJ, RAM Buzău, Compania de Apă SA, Prestcom Serv SA, Urbis-Serv SRL.</t>
  </si>
  <si>
    <t>Valoare 2026 din sursă secundară. Valoarea inițială din proiectul HCL 2016 (oficial): 2250 lei. Scutiți (art. 5 proiect): ISU Buzău, IPJ, IJJ, RAM Buzău, Compania de Apă SA, Prestcom Serv SA, Urbis-Serv SRL.</t>
  </si>
  <si>
    <t>12,1-16,0 t</t>
  </si>
  <si>
    <t>Valoare 2026 din sursă secundară. Valoarea inițială din proiectul HCL 2016 (oficial): 80 lei. Scutiți (art. 5 proiect): ISU Buzău, IPJ, IJJ, RAM Buzău, Compania de Apă SA, Prestcom Serv SA, Urbis-Serv SRL.</t>
  </si>
  <si>
    <t>Valoare 2026 din sursă secundară. Valoarea inițială din proiectul HCL 2016 (oficial): 400 lei. Scutiți (art. 5 proiect): ISU Buzău, IPJ, IJJ, RAM Buzău, Compania de Apă SA, Prestcom Serv SA, Urbis-Serv SRL.</t>
  </si>
  <si>
    <t>Valoare 2026 din sursă secundară. Valoarea inițială din proiectul HCL 2016 (oficial): 3600 lei. Scutiți (art. 5 proiect): ISU Buzău, IPJ, IJJ, RAM Buzău, Compania de Apă SA, Prestcom Serv SA, Urbis-Serv SRL.</t>
  </si>
  <si>
    <t>16,1-40 t sau mărfuri periculoase</t>
  </si>
  <si>
    <t>Valoare 2026 din sursă secundară. Valoarea inițială din proiectul HCL 2016 (oficial): 100 lei. Scutiți (art. 5 proiect): ISU Buzău, IPJ, IJJ, RAM Buzău, Compania de Apă SA, Prestcom Serv SA, Urbis-Serv SRL.</t>
  </si>
  <si>
    <t>Valoare 2026 din sursă secundară. Valoarea inițială din proiectul HCL 2016 (oficial): 500 lei. Scutiți (art. 5 proiect): ISU Buzău, IPJ, IJJ, RAM Buzău, Compania de Apă SA, Prestcom Serv SA, Urbis-Serv SRL.</t>
  </si>
  <si>
    <t>Valoare 2026 din sursă secundară. Valoarea inițială din proiectul HCL 2016 (oficial): 4500 lei. Scutiți (art. 5 proiect): ISU Buzău, IPJ, IJJ, RAM Buzău, Compania de Apă SA, Prestcom Serv SA, Urbis-Serv SRL.</t>
  </si>
  <si>
    <t>agabaritice sau mărfuri periculoase peste 40 t</t>
  </si>
  <si>
    <t>Valoare 2026 din sursă secundară. Valoarea inițială din proiectul HCL 2016 (oficial): 150 lei. Scutiți (art. 5 proiect): ISU Buzău, IPJ, IJJ, RAM Buzău, Compania de Apă SA, Prestcom Serv SA, Urbis-Serv SRL.</t>
  </si>
  <si>
    <t>Valoare 2026 din sursă secundară. Valoarea inițială din proiectul HCL 2016 (oficial): 800 lei. Scutiți (art. 5 proiect): ISU Buzău, IPJ, IJJ, RAM Buzău, Compania de Apă SA, Prestcom Serv SA, Urbis-Serv SRL.</t>
  </si>
  <si>
    <t>Valoare 2026 din sursă secundară. Valoarea inițială din proiectul HCL 2016 (oficial): 7200 lei. Scutiți (art. 5 proiect): ISU Buzău, IPJ, IJJ, RAM Buzău, Compania de Apă SA, Prestcom Serv SA, Urbis-Serv SRL.</t>
  </si>
  <si>
    <t>Trasee art. 2 (tranzit)</t>
  </si>
  <si>
    <t>peste 7,5 t</t>
  </si>
  <si>
    <t>Contradicție: sursa secundară spune că pe aceste trasee se circulă fără autorizație de liberă trecere; textul proiectului HCL 2016 spune „Pentru accesul pe aceste drumuri se va elibera un permis de liberă trecere”. Regimul tarifar pe trasee nu a fost confirmat.</t>
  </si>
  <si>
    <t>a) Șos. Brăilei, Aleea Industriilor, str. Aurel Vlaicu, str. Șantierului, str. Urziceni, str. Dimitrie Filipescu, Șos. Spătaru, Șos. Pogoanele, Pasaj Drăgaica, parțial bd. 1 Decembrie 1918, str. Unirii (până la ieșirea spre Ploiești), ambele sensuri; b) str. Transilvaniei, de la intrarea dinspre DN 10 până la intersecția cu bd. Nicolae Titulescu; c) Șos. Brăilei, str. Horticolei, parțial str. Dorobanți, Centura de Est (până la Pod Mărăcineni) (art. 2).</t>
  </si>
  <si>
    <t>trafic greu: masa totală maximă autorizată mai mare sau egală cu 7,5 tone</t>
  </si>
  <si>
    <t>Existența autorizației de liber acces pentru vehicule ≥7,5 t reiese din portalul oficial; tarifele, zonele și HCL-ul nu au fost găsite. Pagina primăriei „Autorizații de liber acces, acorduri de circulație și autorizații speciale de transport cu greutate și/sau gabarit depășit” (primariaresita.ro) nu a putut fi citită (robots). Căutări: taxă acces/autorizație liber acces/tonaj Reșița, căutare pe domeniul primariaresita.ro.</t>
  </si>
  <si>
    <t>Tranzit prin municipiu</t>
  </si>
  <si>
    <t>peste 7,5 t MTMA (tranzit, destinație alta decât Cluj-Napoca)</t>
  </si>
  <si>
    <t>permanent, din 18.07.2025 ora 10:00</t>
  </si>
  <si>
    <t>Accesul permis doar vehiculelor cu destinația Cluj-Napoca, pe baza autorizației de liberă trecere (zilnică, contra cost). Ocolire: Centura Apahida-Vâlcele, A3 spre Tureni. Amenzi 500-2.000 lei (presă).</t>
  </si>
  <si>
    <t>2025-07-15</t>
  </si>
  <si>
    <t>Numărul HCL de la 15.07.2025 nu apare în presă; actul nu a putut fi citit (files.primariaclujnapoca.ro blochează preluarea automată).</t>
  </si>
  <si>
    <t>Limitele exacte ale zonelor nu au fost găsite în actul oficial. Indicatoare la 11/12 intrări (presă): Văii Fânațelor/Pădureni, Borhanci, Gheorgheni, Valea Seacă/Popești, Bulevardul Muncii/Centura Apahida, Valea Chintăului/Chinteni, Făgetului, Calea Dezmirului, Calea Baciului, Traian Vuia, Feleac, Florești. Traseu interzis tranzitului: Calea Baciului, C. Coposu, Pod Locomotivei, Fabricii de Chibrituri, Gării, Oașului, Bulevardul Muncii.</t>
  </si>
  <si>
    <t>Zona 0 (zona centrală)</t>
  </si>
  <si>
    <t>peste 3,5 t MTMA</t>
  </si>
  <si>
    <t>07:00-09:00 și 13:00-18:00 (autorizația nu dă drept de circulație în Zona 0 în aceste intervale)</t>
  </si>
  <si>
    <t>În afara acestor intervale accesul în Zona 0 se face cu autorizație de liberă trecere opțiunea «Zona 0».</t>
  </si>
  <si>
    <t>https://e-primariaclujnapoca.ro/plationline_v2/_autlib/</t>
  </si>
  <si>
    <t>Text de pe platforma oficială de plată a primăriei: «Autorizatia NU da drept de circulatie pentru zona "0" in intervalele orare 07:00-09:00 si 13:00-18:00». Nu este textul HCL.</t>
  </si>
  <si>
    <t>Limitele Zonei 0 nu au fost găsite.</t>
  </si>
  <si>
    <t>peste 35 t</t>
  </si>
  <si>
    <t>tarif diferit zi / noapte (noapte 21:00-07:00 pe platformă)</t>
  </si>
  <si>
    <t>PressOne: noaptea tariful «pleacă de la 13 lei și ajunge până la 25 lei»; ziua «maximum 50 de lei».</t>
  </si>
  <si>
    <t>2025-09-21</t>
  </si>
  <si>
    <t>https://pressone.ro/poluare-contra-cost-dupa-ce-s-a-laudat-ca-face-orasul-respirabil-primaria-cluj-a-dat-drumul-camioanelor-in-trafic-pentru-sume-derizorii</t>
  </si>
  <si>
    <t>Valoare lăsată null: presa dă interval/maxim, nu un tarif unic. Tarifele pentru alte clase în Zona 0 negăsite.</t>
  </si>
  <si>
    <t>Municipiul Cluj-Napoca, în afara Zonei 0</t>
  </si>
  <si>
    <t>7,5 t (exemplul din presă; clasa exactă din HCL negăsită)</t>
  </si>
  <si>
    <t>14 lei pentru 07:00-21:00; 7 lei pentru 21:00-07:00</t>
  </si>
  <si>
    <t>Autorizație valabilă o zi; tarifele sunt «la nivelul anului 2011» (primar).</t>
  </si>
  <si>
    <t>2025-07-18</t>
  </si>
  <si>
    <t>https://actualdecluj.ro/traficul-greu-cu-autorizatii-pe-tot-anul-au-in-continuare-dreptul-sa-circule-prin-cluj-napoca-restirctia-pentru-traficul-greu-a-intrat-in-vigoare-primaria-elibereaza-autorizatii-de-libera-trecere-doar/</t>
  </si>
  <si>
    <t>Tabel publicat de presă; neconfirmat din HCL 484/2011. Platforma oficială afișează intervalele «Noapte 21:00-7:00» și «Zi 00:00-24:00», fără sume.</t>
  </si>
  <si>
    <t>Limitele exacte ale zonelor nu au fost găsite în actul oficial. Indicatoare la 11/12 intrări (presă): Văii Fânațelor/Pădureni, Borhanci, Gheorgheni, Valea Seacă/Popești, Bulevardul Muncii/Centura Apahida, Valea Chintăului/Chinteni, Făgetului, Calea Dezmirului, Calea Baciului, Traian Vuia, Feleac, Florești</t>
  </si>
  <si>
    <t>28 lei pentru 07:00-21:00; 14 lei pentru 21:00-07:00</t>
  </si>
  <si>
    <t>Autorizație valabilă o zi. PressOne: în celelalte zone tariful pornește de la 7 lei noaptea și poate ajunge la 28 lei ziua.</t>
  </si>
  <si>
    <t>Confirmat și de Economedia 12.08.2025 (viceprimar: 28 lei/zi, 14 lei noaptea pentru 35 t). Clasele 15-35 t: tarife negăsite.</t>
  </si>
  <si>
    <t>7,5 - 15 t</t>
  </si>
  <si>
    <t>abonament lunar; doar pentru transportatori cu sediu sau punct de lucru în municipiul Cluj-Napoca (riverani). Prețuri «aceleași din 2011» (primar Emil Boc).</t>
  </si>
  <si>
    <t>Cerere la primărie (registratură sau online); platforma de plată online afișează doar opțiunea «O zi».</t>
  </si>
  <si>
    <t>HCL 484/2011 privind reglementarea aprovizionării și circulației autovehiculelor în Cluj-Napoca, modificată prin HCL 491/2025 și printr-o hotărâre din august 2025 (număr negăsit); interdicția de tranzit votată în ședința extraordinară din 15.07.2025 (număr HCL negăsit); proiectul de modificare a art. I din HCL 491/2025 (consultare până la 11.08.2025)</t>
  </si>
  <si>
    <t>2025-08-07</t>
  </si>
  <si>
    <t>https://actualdecluj.ro/?p=272076</t>
  </si>
  <si>
    <t>Sume declarate de primar în presă pentru proiectul din august 2025; adoptarea finală și clasele 15-35 t neconfirmate din act.</t>
  </si>
  <si>
    <t>până la 15 t inclusiv (de la 7,5 t)</t>
  </si>
  <si>
    <t>abonament anual; doar pentru transportatori cu sediu sau punct de lucru în municipiul Cluj-Napoca (riverani). Prețuri «aceleași din 2011» (primar Emil Boc).</t>
  </si>
  <si>
    <t>Municipiul Constanța - drumuri publice administrate de municipiu (trama stradală)</t>
  </si>
  <si>
    <t>utilaje și vehicule pentru transport materiale de construcții sau alte mărfuri (sancțiuni pentru peste 3,5 t MTMA)</t>
  </si>
  <si>
    <t>«Taxa pentru folosirea tramei stradale» pe bază de autorizație de circulație, în funcție de MTMA; capetele tractor nu se taxează; reducere 10% pentru autorizația anuală emisă până la 31 ianuarie; poate fi necesar și aviz de traseu. Amendă 2.000-2.500 lei fără autorizație (peste 3,5 t).</t>
  </si>
  <si>
    <t>Pagină oficială SPIT, dar fără sume pe tonaj. Tarifele lunare negăsite.</t>
  </si>
  <si>
    <t>Municipiul Sfântu Gheorghe</t>
  </si>
  <si>
    <t>3,5 - 7,5 t (autorizație specială transport)</t>
  </si>
  <si>
    <t>Autorizație specială (art. 3 alin. 2-3) doar pentru transport de: lemne de foc, beton, nisip, pietriș, bușteni, materiale de construcții agabaritice, combustibil, produse agricole recoltate, deșeuri din demolări, mobilier, echipamente tehnologice sau medicale mari, elemente de scenă; sau pentru deplasare la ITP / service auto. Valabilitate 1 zi sau 1 lună. Scutiri (art. 5): furnizori de utilități (gaz, electricitate, apă, canalizare, salubritate); ambulanță, SMURD, protecție civilă, poliție, pompieri, poliție locală, jandarmerie, poliție de frontieră, Garda de Mediu, APM; MApN, ANP, Ministerul Public, SRI, SPP (în misiune); vehicule care execută lucrări de investiții/reparații/întreținere pentru instituții publice; autobuzele transportului public local. Pentru vehicule cu remorcă, masa = masa vehiculului + masa remorcii (art. 4 alin. 3). Staționarea vehiculelor &gt;3,5 t pe domeniul public este interzisă (inclusiv în satele Chilieni și Coșeni), cu excepția parcării de pe str. Constructorilor.</t>
  </si>
  <si>
    <t>HCL 416/2025 (anexă); formular cerere octombrie 2025</t>
  </si>
  <si>
    <t>Amendă pentru circulație fără autorizație: 1.000-2.000 lei (art. 6); controlează Poliția Locală (art. 7).</t>
  </si>
  <si>
    <t>Regulamentul nu delimitează zone; circulația autovehiculelor peste 3,5 t care transportă mărfuri se face doar cu autorizație specială. Fără restricție de tonaj: str. József Attila și str. Jókai Mór; str. Constructorilor, Lt. Păiș David și Lunca Oltului doar pentru vehiculele cu sediul acolo, care transportă mărfuri la/de la firmele de acolo sau merg la ITP/service; str. Ciucului pentru vehicule sub 7,5 t.</t>
  </si>
  <si>
    <t>7,51 - 16,00 t (autorizație specială transport)</t>
  </si>
  <si>
    <t>peste 16,01 t (autorizație specială transport)</t>
  </si>
  <si>
    <t>3,5 - 7,5 t (autorizație deplasare la sediu)</t>
  </si>
  <si>
    <t>Pentru vehicule care se deplasează la sediul propriu; se aplică și autovehiculelor de persoane care nu deservesc transportul public al municipiului (art. 3 alin. 5). Scutiri (art. 5): furnizori de utilități (gaz, electricitate, apă, canalizare, salubritate); ambulanță, SMURD, protecție civilă, poliție, pompieri, poliție locală, jandarmerie, poliție de frontieră, Garda de Mediu, APM; MApN, ANP, Ministerul Public, SRI, SPP (în misiune); vehicule care execută lucrări de investiții/reparații/întreținere pentru instituții publice; autobuzele transportului public local. Pentru vehicule cu remorcă, masa = masa vehiculului + masa remorcii (art. 4 alin. 3). Staționarea vehiculelor &gt;3,5 t pe domeniul public este interzisă (inclusiv în satele Chilieni și Coșeni), cu excepția parcării de pe str. Constructorilor.</t>
  </si>
  <si>
    <t>Deplasarea la sediu (art. 3 alin. 4-5) este permisă doar în anii 2024 și 2025 conform textului citit, deci aplicabilitatea în 2026 e neclară. Art. 3 alin. 4 menționează valabilitate de 6 sau 12 luni, dar tabelul de tarife (art. 4) are coloane „1 lună” și „6 luni”. Pentru prima treaptă, tabelul indică 3,5-7,5 t, iar textul art. 3 alin. 4 lit. a vorbește de „7,5 tone și 16 tone”; neconcordanță nerezolvată în sursă.</t>
  </si>
  <si>
    <t>Abonament 6 luni. Pentru vehicule care se deplasează la sediul propriu (art. 3 alin. 4-5). Scutiri (art. 5): furnizori de utilități (gaz, electricitate, apă, canalizare, salubritate); ambulanță, SMURD, protecție civilă, poliție, pompieri, poliție locală, jandarmerie, poliție de frontieră, Garda de Mediu, APM; MApN, ANP, Ministerul Public, SRI, SPP (în misiune); vehicule care execută lucrări de investiții/reparații/întreținere pentru instituții publice; autobuzele transportului public local. Pentru vehicule cu remorcă, masa = masa vehiculului + masa remorcii (art. 4 alin. 3). Staționarea vehiculelor &gt;3,5 t pe domeniul public este interzisă (inclusiv în satele Chilieni și Coșeni), cu excepția parcării de pe str. Constructorilor.</t>
  </si>
  <si>
    <t>7,51 - 16,00 t (autorizație deplasare la sediu)</t>
  </si>
  <si>
    <t>peste 16,01 t (autorizație deplasare la sediu)</t>
  </si>
  <si>
    <t>Str. József Attila și str. Jókai Mór</t>
  </si>
  <si>
    <t>orice tonaj</t>
  </si>
  <si>
    <t>Circulație fără restricție de tonaj. Str. Constructorilor, Lt. Păiș David și Lunca Oltului: fără restricție doar pentru vehiculele cu sediul acolo, care transportă mărfuri la/de la firmele de acolo sau merg la ITP/service.</t>
  </si>
  <si>
    <t>Str. József Attila și str. Jókai Mór (art. 3 alin. 1 lit. a).</t>
  </si>
  <si>
    <t>Str. Ciucului</t>
  </si>
  <si>
    <t>sub 7,5 t</t>
  </si>
  <si>
    <t>Circulație permisă vehiculelor sub 7,5 t.</t>
  </si>
  <si>
    <t>Str. Ciucului (art. 3 alin. 1 lit. b).</t>
  </si>
  <si>
    <t>Nu s-a găsit taxă de acces/autorizație de liberă trecere pentru vehicule grele. Căutări: „Călărași taxă acces autovehicule peste 3,5 tone HCL”, căutare pe domeniul primariacalarasi.ro (doar taxi, parcări de reședință, transport public); pagina Transport public local și site-ul Poliției Locale nu conțin informații despre trafic greu.</t>
  </si>
  <si>
    <t>HCL 496/2025 (impozite și taxe 2026) citit: conține doar impozitul pe mijloace de transport ≥12 t și taxe de parcare, fără taxă de acces pe tonaj (documentul s-a trunchiat în Anexa 5). Secțiunea «Sistematizarea circulației» nu are informații despre trafic greu. Nu exclude un regulament separat (căutarea web s-a epuizat).</t>
  </si>
  <si>
    <t>Raza municipiului Târgoviște (în afara drumurilor de centură)</t>
  </si>
  <si>
    <t>Acces 22:00-07:00 și 08:30-12:00 / 12:00-22:00 (același tarif); interzis 07:00-08:30.</t>
  </si>
  <si>
    <t>Interzis accesul în oraș pentru vehicule/ansambluri peste 3,5 t între 07:00 și 08:30 (art. 2 alin. 1). Peste 16 t: restricție 12:00-22:00 (aprilie-octombrie) și 12:00-20:00 (noiembrie-martie) (art. 2 alin. 3). Scutiri de taxă: vehicule până la 3,5 t; transport materiale de construcții pentru persoane fizice (autorizație gratuită pe baza autorizației de construire); livrări pentru lucrări ale instituțiilor publice și curse între depozite și stații de carburant (art. 6). Autorizațiile nu sunt transmisibile. Taxă documentație: 18 lei/vehicul (sursă secundară).</t>
  </si>
  <si>
    <t>Tarife 2026: bursatransport 19-06-2026; tarife 2025 și regulament: documente oficiale pmtgv.ro</t>
  </si>
  <si>
    <t>Valoare 2026 din sursă secundară (care citează eronat HCL 408/2008). Valoare 2025 confirmată din informarea oficială DAPPP: 74 lei; valoarea 2026 corespunde unei indexări de 5,6% a celei din 2025.</t>
  </si>
  <si>
    <t>Întreg municipiul; vehiculele peste 3,5 t pot folosi drumurile de centură fără autorizație. Listă de străzi/trasee negăsită.</t>
  </si>
  <si>
    <t>Valoare 2026 din sursă secundară (care citează eronat HCL 408/2008). Valoare 2025 confirmată din informarea oficială DAPPP: 746 lei; valoarea 2026 corespunde unei indexări de 5,6% a celei din 2025.</t>
  </si>
  <si>
    <t>7,5-16 t (interval 12:00-22:00)</t>
  </si>
  <si>
    <t>12:00-22:00; interzis 07:00-08:30.</t>
  </si>
  <si>
    <t>Valoare 2026 din sursă secundară (care citează eronat HCL 408/2008). Valoare 2025 confirmată din informarea oficială DAPPP: 225 lei; valoarea 2026 corespunde unei indexări de 5,6% a celei din 2025.</t>
  </si>
  <si>
    <t>Valoare 2026 din sursă secundară (care citează eronat HCL 408/2008). Valoare 2025 confirmată din informarea oficială DAPPP: 2238 lei; valoarea 2026 corespunde unei indexări de 5,6% a celei din 2025.</t>
  </si>
  <si>
    <t>7,5-16 t (interval 22:00-07:00 și 08:30-12:00)</t>
  </si>
  <si>
    <t>22:00-07:00 și 08:30-12:00.</t>
  </si>
  <si>
    <t>Valoare 2026 din sursă secundară (care citează eronat HCL 408/2008). Valoare 2025 confirmată din informarea oficială DAPPP: 110 lei; valoarea 2026 corespunde unei indexări de 5,6% a celei din 2025.</t>
  </si>
  <si>
    <t>Valoare 2026 din sursă secundară (care citează eronat HCL 408/2008). Valoare 2025 confirmată din informarea oficială DAPPP: 1122 lei; valoarea 2026 corespunde unei indexări de 5,6% a celei din 2025.</t>
  </si>
  <si>
    <t>peste 16 t</t>
  </si>
  <si>
    <t>Permis aprilie-octombrie 22:00-12:00, noiembrie-martie 20:00-12:00 (exclusiv 07:00-08:30); în rest nepermis.</t>
  </si>
  <si>
    <t>Valoare 2026 din sursă secundară (care citează eronat HCL 408/2008). Valoare 2025 confirmată din informarea oficială DAPPP: 448 lei; valoarea 2026 corespunde unei indexări de 5,6% a celei din 2025.</t>
  </si>
  <si>
    <t>Valoare 2026 din sursă secundară (care citează eronat HCL 408/2008). Valoare 2025 confirmată din informarea oficială DAPPP: 4477 lei; valoarea 2026 corespunde unei indexări de 5,6% a celei din 2025.</t>
  </si>
  <si>
    <t>Străzi interzise (Anexa 3, lit. A)</t>
  </si>
  <si>
    <t>Atenție: Anexa 2 listează str. Brăilei între b-dul Dunărea și ieșirea din oraș ca traseu fără restricții. Exceptate (art. 20): ambulanță, protecție civilă, poliție, pompieri, jandarmerie, poliția de frontieră, MApN, penitenciare, Ministerul Public, SRI/SPP în misiune.</t>
  </si>
  <si>
    <t>2014</t>
  </si>
  <si>
    <t>Regulament din 2014; modificări ulterioare neverificate (pagina de hotărâri primariagalati.ro blochează preluarea automată).</t>
  </si>
  <si>
    <t>Str. Brăilei; Str. Domnească; B-dul Marea Unire; Str. Nicolae Bălcescu; Str. Mihai Bravu</t>
  </si>
  <si>
    <t>Faleza inferioară (Anexa 3, lit. B)</t>
  </si>
  <si>
    <t>autovehicule cu MTMA de 1,5 t</t>
  </si>
  <si>
    <t>Firme cu punct de lucru pe faleză: L-V 08:00-14:00, S-D și sărbători 08:00-12:00 (în afara orelor max. 30 min). Firme care aprovizionează: L-V 08:00-10:00 și 14:00-16:00, S-D și sărbători 08:00-10:00. Transport personal/valori: 00:00-04:00, 30 min.</t>
  </si>
  <si>
    <t>«au acces autovehiculele cu masa totală maxim autorizată de 1,5 t, o dată pe zi».</t>
  </si>
  <si>
    <t>Tarif negăsit.</t>
  </si>
  <si>
    <t>Faleza inferioară a Dunării</t>
  </si>
  <si>
    <t>Municipiul Galați - străzi cu restricție (în afara traseelor libere din Anexa 2)</t>
  </si>
  <si>
    <t>peste 3,5 t (neagabaritice)</t>
  </si>
  <si>
    <t>Taxa depinde de MTMA și de perioada solicitată și se aprobă prin HCL (art. 18). PLT gratuite pentru instituții/societăți ale consiliului local cu activități de interes public (art. 19).</t>
  </si>
  <si>
    <t>Sumele PLT negăsite (HCL de taxe locale neaccesibil).</t>
  </si>
  <si>
    <t>Trasee fără restricții (Anexa 2): drum acces bac, intersecția b-dul Falezei/Saturn, str. Săvinești, str. Stadionului, b-dul Oțelarilor, b-dul Galați, b-dul Dunărea, Drumul de Centură, str. Brăilei între b-dul Dunărea și ieșirea din oraș; Calea Prutului, Drumul de Centură Est, str. Tunelului, str. Ștefan cel Mare, b-dul George Coșbuc (între str. Al. Măcelaru și Drumul de Centură)</t>
  </si>
  <si>
    <t>Străzi cu restricție de tonaj din municipiul Giurgiu (semnalizate)</t>
  </si>
  <si>
    <t>7,5 - 15 tone</t>
  </si>
  <si>
    <t>mai 2017 (taxă obligatorie de la 01.06.2017)</t>
  </si>
  <si>
    <t>„Taxă specială de liberă trecere” pentru autovehicule cu masa maximă autorizată peste 7,5 t, din anunțul oficial al primăriei (2017). Nu s-au găsit HCL-ul sau o actualizare 2025-2026, deci valabilitatea actuală a tarifelor nu e confirmată. Atribuțiile compartimentului Trafic Greu (2026) confirmă că sistemul de permise de liberă trecere există și că Poliția Locală verifică deținerea lor.</t>
  </si>
  <si>
    <t>Străzile restricționate nu sunt enumerate în anunț („vor fi semnalizate corespunzător”). Rute ocolitoare pentru vehiculele restricționate: str. Gloriei; Drumul Serei (centura de lângă Penitenciarul Giurgiu); Șos. Ghizdarului; Șos. Alexandriei, Drumul P1-P2; str. Aleea Plantelor; str. Unirii; Șos. 1 Decembrie 1918 (de la intrarea din Vamă spre intersecția cu Șos. Prieteniei); Șos. Prieteniei.</t>
  </si>
  <si>
    <t>Valabilitate 30 de zile.</t>
  </si>
  <si>
    <t>Abonamente pe 20 de zile: 500 lei; pe 10 zile: 300 lei.</t>
  </si>
  <si>
    <t>„Taxă specială de liberă trecere” pentru autovehicule cu masa maximă autorizată peste 7,5 t, din anunțul oficial al primăriei (2017). Nu s-au găsit HCL-ul sau o actualizare 2025-2026, deci valabilitatea actuală a tarifelor nu e confirmată. Atribuțiile compartimentului Trafic Greu (2026) confirmă că sistemul de permise de liberă trecere există și că Poliția Locală verifică deținerea lor. Valoare lăsată null deoarece există două durate (10 și 20 de zile); sumele sunt în alte_conditii.</t>
  </si>
  <si>
    <t>peste 15 tone</t>
  </si>
  <si>
    <t>Abonamente pe 20 de zile: 700 lei; pe 10 zile: 400 lei.</t>
  </si>
  <si>
    <t>Nu s-a găsit taxă de acces pentru vehicule grele. Căutare pe domeniul targujiu.ro (tonaj, acces, liberă trecere): a apărut Hotărârea nr. 645/2025 (subiect neverificat; site-ul blochează citirea automată), plus taxi, parcări, conturi de virament. Căutarea generală nu a dat rezultate relevante; bugetul de căutări s-a epuizat înainte de a doua rundă.</t>
  </si>
  <si>
    <t>Zona centrală și zonele rezidențiale</t>
  </si>
  <si>
    <t>3,5 - 7,5 tone</t>
  </si>
  <si>
    <t>Vehiculele până la 7,5 t pentru aprovizionarea unităților comerciale și de servicii au acces în intervalul 19:00-21:00, cu plata tarifului din anexa nr. 2 (art. 8).</t>
  </si>
  <si>
    <t>Scutiri (art. 11): Poliția Română, Jandarmeria, ISU, ambulanța; intervenții la rețelele tehnico-edilitare; servicii publice de gospodărire comunală, salubritate și deszăpezire; transport funerar; transport în situații de urgență; transport turistic de persoane și transport public local. Autorizații pentru 6 luni (reducere 10%) sau 1 an (reducere 25%). Traficul de tranzit &gt;3,5 t folosește rutele ocolitoare din anexa 6.</t>
  </si>
  <si>
    <t>2006 (HCL 49/2006); pagina de relații cu publicul accesată 2026-10-10</t>
  </si>
  <si>
    <t>În textul publicat apare „5O RON/zi” (eroare de tipar/OCR, citită ca 50). Tarife din 2006; nu s-a găsit o hotărâre ulterioară de actualizare (căutare limitată). De verificat la primărie înainte de folosire.</t>
  </si>
  <si>
    <t>Zona centrală delimitată de străzile: Brașovului, Zöld Péter, B-dul Frăției, Iancu de Hunedoara, Joița, Coșbuc, Lunca Mare, Sălciei și Uzina Electrică (anexa nr. 1); plus zonele rezidențiale din anexa nr. 3 (lista nu apare în textul publicat).</t>
  </si>
  <si>
    <t>Tarife din 2006; nu s-a găsit o hotărâre ulterioară de actualizare (căutare limitată). De verificat la primărie înainte de folosire.</t>
  </si>
  <si>
    <t>Trasee stabilite prin anexa HCL 49/2006 (vehicule 7,5-16 t)</t>
  </si>
  <si>
    <t>7,51 - 12,5 tone</t>
  </si>
  <si>
    <t>Acces cu autorizație și tarif (anexa nr. 5). Transport de materiale de construcții și mobilier (autobetoniere, pompe de beton, materiale la domiciliu/firme, mobilier la clienți): acces în toate zonele până la 16 t cu plata tarifelor din anexa 5 și prezentarea autorizației de construire sau a facturii; autorizația indică perioada, data și traseul exact. Scutiri (art. 11): Poliția Română, Jandarmeria, ISU, ambulanța; intervenții la rețelele tehnico-edilitare; servicii publice de gospodărire comunală, salubritate și deszăpezire; transport funerar; transport în situații de urgență; transport turistic de persoane și transport public local. Autorizații pentru 6 luni (reducere 10%) sau 1 an (reducere 25%). Traficul de tranzit &gt;3,5 t folosește rutele ocolitoare din anexa 6.</t>
  </si>
  <si>
    <t>Acces permis doar pe traseele din anexă (lista traseelor nu apare în textul publicat).</t>
  </si>
  <si>
    <t>12,51 - 16,0 tone</t>
  </si>
  <si>
    <t>Traseu de legătură tranzit - Zona Industrială Est</t>
  </si>
  <si>
    <t>până la 22 t</t>
  </si>
  <si>
    <t>Fără autorizație și fără tarif pe acest traseu.</t>
  </si>
  <si>
    <t>Str. Zöld Péter, B-dul Frăției, str. Iancu de Hunedoara (între Leliceni și Venczel József), str. Leliceni (între intrarea în oraș și Iancu de Hunedoara).</t>
  </si>
  <si>
    <t>Zona pietonală str. Petőfi Sándor</t>
  </si>
  <si>
    <t>Aprovizionare cu autovehicule care nu depășesc 3,5 t, în zilele lucrătoare, 05:00-10:00 (vehiculele părăsesc zona până la sfârșitul intervalului).</t>
  </si>
  <si>
    <t>Aprovizionarea necesită autorizație de acces emisă pe numele unității comerciale; riveranii cu domiciliul în zonă pot primi acces permanent în condițiile HCL 240/2013.</t>
  </si>
  <si>
    <t>HCL nr. 240/25.10.2013 (modifică art. 9 din Regulamentul aprobat prin HCL 18/2002)</t>
  </si>
  <si>
    <t>25.10.2013</t>
  </si>
  <si>
    <t>https://miercureaciuc.ro/files/documents/file_b3c099c3e051f8.pdf</t>
  </si>
  <si>
    <t>Tarif pentru autorizația de aprovizionare nespecificat în HCL 240/2013.</t>
  </si>
  <si>
    <t>Strada Petőfi Sándor (zonă pietonală).</t>
  </si>
  <si>
    <t>Raza municipiului Deva</t>
  </si>
  <si>
    <t>Cat. 1: 3,5 tone - 7,5 tone (inclusiv)</t>
  </si>
  <si>
    <t>SMS (autorizație zilnică): „DEV1 &lt;nr. înmatriculare&gt;” la 7415 (Vodafone/Telekom) sau 7515 (Orange).</t>
  </si>
  <si>
    <t>accesat 2026-10-10 (platformă activă; anunț de mentenanță din 25.05.2025 pe pagina primăriei)</t>
  </si>
  <si>
    <t>Sursă oficială a Primăriei (platformă de plată + anunț PDF), nu textul HCL. Tarifele sunt identice în cele trei surse. Excepții, orar și eventuale modificări ale HCL 120/2019 negăsite.</t>
  </si>
  <si>
    <t>Autorizația de liberă trecere pe raza municipiului Deva este obligatorie pentru autovehiculele cu masa maximă autorizată peste 3,5 t (vizează autovehiculele cu masa totală peste 3,5 t care traversează raza municipiului Deva). Sursele citite nu definesc zone sau străzi.</t>
  </si>
  <si>
    <t>Cat. 2: 7,5 tone - 16 tone (inclusiv)</t>
  </si>
  <si>
    <t>SMS (autorizație zilnică): „DEV4 &lt;nr. înmatriculare&gt;” la 7410 (Vodafone/Telekom) sau 7520 (Orange).</t>
  </si>
  <si>
    <t>Cat. 3: 16 tone - 26 tone (inclusiv)</t>
  </si>
  <si>
    <t>Cat. 4: 26 tone - 40 tone (inclusiv)</t>
  </si>
  <si>
    <t>Cat. 5: mai mare de 40 tone</t>
  </si>
  <si>
    <t>Nu s-a găsit taxă de acces/autorizație de liberă trecere pentru vehicule grele. Căutare pe domeniul sloboziail.ro: doar pagini vechi (ghid taxe, Poliția Comunitară); ghidul de taxe nu a putut fi citit (robots).</t>
  </si>
  <si>
    <t>Municipiul Iași (zona centrală și zona a II-a)</t>
  </si>
  <si>
    <t>3,5 - 12 t inclusiv</t>
  </si>
  <si>
    <t>Pe raza municipiului este interzisă circulația vehiculelor de marfă peste 3,5 t fără autorizație emisă de primărie; presa menționează taxe «pe zi, sau lună».</t>
  </si>
  <si>
    <t>2025-08-09</t>
  </si>
  <si>
    <t>Surse în conflict: BZI 2020 dădea 32 lei/zi (3,5-12 t), 106 lei/zi (12-13 t), 212 lei/zi (&gt;13 t); Economedia 02.2025: «45 lei (3,5-12 t) până la 299 lei/zi (peste 35 t)». BZI 08.2025 indică și 22 lei/zi «până la 3,5 t». Necesită verificare la primărie.</t>
  </si>
  <si>
    <t>Presă (BZI, 09.08.2025): zona centrală delimitată de străzi printre care Moara de Foc, Bd. Nicolae Iorga, Bd. Carol I, Șos. Ștefan cel Mare; a doua zonă între zona centrală și artere ca DN28 (Metro), Șoseaua de Centură, Șos. Galata. Limitele oficiale negăsite.</t>
  </si>
  <si>
    <t>12 - 20 t inclusiv</t>
  </si>
  <si>
    <t>20 - 35 t inclusiv</t>
  </si>
  <si>
    <t>Municipiul Iași (drumuri locale)</t>
  </si>
  <si>
    <t>2025-02-19</t>
  </si>
  <si>
    <t>https://economedia.ro/?p=238921</t>
  </si>
  <si>
    <t>Doar capătul de interval citat de presă («de la 45 lei (3,5-12 t) până la 299 lei pe zi (peste 35 t)»).</t>
  </si>
  <si>
    <t>Drumuri naționale DN24 și DN28 în municipiul Iași (per segment) - PROIECT</t>
  </si>
  <si>
    <t>3,5 - 12 t</t>
  </si>
  <si>
    <t>Permisele se eliberează L-J 08:00-16:00, V 08:00-13:30</t>
  </si>
  <si>
    <t>Proiect: tarif pe întreaga rețea = dublu (ex. 3,5-12 t: 630/2.700/32.400 lei). Sub 3,5 t nu se taxează. Peste 40 t: «mai multe criterii», nespecificat. Scutiri: MApN, MAI, servicii, urgențe, Primăria Iași, ISCTR, Crucea Roșie, transport public local, transport școlar, ambulanțe, utilaje agricole înmatriculate în Iași.</t>
  </si>
  <si>
    <t>Proiect: cerere + copie certificat înmatriculare; depunere la Bd. Ștefan cel Mare și Sfânt nr. 11, email liberatrecere@primaria-iasi.ro sau aplicație; plată în aplicație, ghiseul.ro sau casierie; permis electronic prin sistemul SELTIS.</t>
  </si>
  <si>
    <t>Proiect de HCL «aplicarea tarifului de liberă trecere pe rețeaua de drumuri naționale din Iași», nr. ..../2025 (necompletat), Anexa 1 Regulament</t>
  </si>
  <si>
    <t>2025-02-18</t>
  </si>
  <si>
    <t>https://apix.ro/wp-content/uploads/2025/02/02-Regulament-permis-libera-trecere.pdf</t>
  </si>
  <si>
    <t>Document de proiect (februarie 2025); adoptarea nu a fost confirmată. BZI 09.08.2025 menționează că un proiect de taxe propus în mai 2025 a fost respins.</t>
  </si>
  <si>
    <t>DN 24 km 183+941 - 188+150 (4,222 km); DN 24 km 191+035 - 202+259 (10,125 km; art. 11 scrie «02+259»); DN 28 km 64+225 - 68+580 (4,305 km); DN 28 km 69+657 - 81+325 (10,609 km); rețea limitată la intravilan, între indicatoarele de intrare/ieșire</t>
  </si>
  <si>
    <t>12 - 24 t</t>
  </si>
  <si>
    <t>24 - 40 t</t>
  </si>
  <si>
    <t>Zona A (centrul istoric)</t>
  </si>
  <si>
    <t>4,5-7,5 t inclusiv</t>
  </si>
  <si>
    <t>Program zi 06:00-22:00, program noapte 22:00-06:00 (sursă secundară; tariful nu diferă pe program).</t>
  </si>
  <si>
    <t>Restricție peste 4,5 t MTMA (HCL 28/2018, confirmat din anexă). Vehiculele cu autorizație trebuie să respecte în continuare indicatoarele de restricție.</t>
  </si>
  <si>
    <t>Tarife: pagina bursatransport din 19-06-2026 (valabile 2026); zone: HCL 28/2018</t>
  </si>
  <si>
    <t>Zonele și pragurile de masă sunt confirmate din anexa oficială; valorile tarifelor provin din sursă secundară (actul de taxe 2026 negăsit).</t>
  </si>
  <si>
    <t>Anexa nr. 1 la HCL 28/2018: listă de circa 80 de străzi, grupate pe cartiere (în principal Orașul Vechi și Progresul), ex.: bd. București (tronson între bd. Unirii și str. Culturii), bd. Independenței (tronson între bd. Unirii și str. Culturii), str. Vasile Alecsandri (tronson între str. Reconstrucției și Piața Izvoarelor). Lista completă în PDF-ul anexei.</t>
  </si>
  <si>
    <t>7,5-16 t inclusiv</t>
  </si>
  <si>
    <t>16-40 t inclusiv</t>
  </si>
  <si>
    <t>Zona B (restul municipiului)</t>
  </si>
  <si>
    <t>Restricție peste 7,5 t MTMA (HCL 28/2018, confirmat din anexă). Vehiculele cu autorizație trebuie să respecte în continuare indicatoarele de restricție.</t>
  </si>
  <si>
    <t>Anexa nr. 2 la HCL 28/2018: listă de circa 289 de străzi, grupate pe cartiere (Fernezeu, Valea Roșie, Grivița, Săsar, Traian, Gării etc.), ex.: bd. București (tronson între str. Motorului și bd. Unirii), str. George Coșbuc (tronson între bd. Decebal și bd. Unirii), bd. Unirii (integral). Lista completă în PDF-ul anexei.</t>
  </si>
  <si>
    <t>Clasa 4,5-7,5 t plătește doar în Zona A.</t>
  </si>
  <si>
    <t>Tarif 0 lei în Zona B pentru această clasă (sursă secundară), coerent cu pragul de 7,5 t al Zonei B din HCL 28/2018.</t>
  </si>
  <si>
    <t>Poduri peste râul Săsar (str. Industriei și bd. Decebal)</t>
  </si>
  <si>
    <t>Permanent, din 04.09.2025.</t>
  </si>
  <si>
    <t>Interdicția se aplică și vehiculelor cu autorizații de acces deja emise.</t>
  </si>
  <si>
    <t>Anunț Primăria Baia Mare pe platforma de plată (actul de dispunere negăsit)</t>
  </si>
  <si>
    <t>Anunț pe platforma GlobalPay Baia Mare, consultat 2026-10-10</t>
  </si>
  <si>
    <t>https://www.globalpay.ro/baiamare/eAccesAuto/public/Autorizatii/adaugare</t>
  </si>
  <si>
    <t>Anunț afișat pe platforma oficială de plată a Primăriei; actul administrativ care instituie interdicția nu a fost găsit.</t>
  </si>
  <si>
    <t>Podurile peste Săsar de pe str. Industriei și de pe bd. Decebal.</t>
  </si>
  <si>
    <t>3,5-5 t: toată ziua; 5-7,5 t: 18:00-07:00</t>
  </si>
  <si>
    <t>Restricție pentru autovehicule de transport marfă/materiale și utilaje cu MTMA peste 3,5 t. Se adaugă un comision de 15% perceput de firma care operează aplicația de plată online.</t>
  </si>
  <si>
    <t>Tarife din sursă secundară; actul oficial nu a fost găsit pe primariadrobeta.ro sau emol.ro. Clasele de masă pentru taxa zilnică diferă de cele pentru orar și taxa lunară.</t>
  </si>
  <si>
    <t>N: bd. Tudor Vladimirescu; E: str. Smârdan; V: str. Cicero; S: bd. Carol I.</t>
  </si>
  <si>
    <t>5-10 t: 18:00-07:00; 10-12,5 t: 22:00-06:00</t>
  </si>
  <si>
    <t>peste 12,5 t</t>
  </si>
  <si>
    <t>10-20 t: 22:00-06:00; peste 20 t: neprecizat</t>
  </si>
  <si>
    <t>Se plătește doar după aprobarea ordonatorului principal de credite.</t>
  </si>
  <si>
    <t>Tarife din sursă secundară; actul oficial nu a fost găsit pe primariadrobeta.ro sau emol.ro. Afișat în tabelul zilnic ca „1.450 lei / transport agabaritic”.</t>
  </si>
  <si>
    <t>3,5-5 t inclusiv</t>
  </si>
  <si>
    <t>Toată ziua</t>
  </si>
  <si>
    <t>Tarife din sursă secundară; actul oficial nu a fost găsit pe primariadrobeta.ro sau emol.ro.</t>
  </si>
  <si>
    <t>5-10 t inclusiv</t>
  </si>
  <si>
    <t>18:00-07:00</t>
  </si>
  <si>
    <t>10-20 t inclusiv</t>
  </si>
  <si>
    <t>22:00-06:00</t>
  </si>
  <si>
    <t>20-26 t</t>
  </si>
  <si>
    <t>Neprecizat</t>
  </si>
  <si>
    <t>transport agabaritic (tarif lunar)</t>
  </si>
  <si>
    <t>Tarife din sursă secundară; actul oficial nu a fost găsit pe primariadrobeta.ro sau emol.ro. Afișat în tabelul lunar ca „3.000 lei / transport agabaritic”; semnificația exactă (lunar sau per transport) neclară.</t>
  </si>
  <si>
    <t>Străzi cu restricții de tonaj pe raza municipiului</t>
  </si>
  <si>
    <t>sub 20 t (autovehicule sau ansambluri)</t>
  </si>
  <si>
    <t>Sursa secundară indică program zi 06:00-22:00 și noapte 22:00-06:00, fără diferențe de tarif.</t>
  </si>
  <si>
    <t>Taxă autorizare trafic greu pe raza municipiului pe străzi cu restricții de tonaj; lei/zi/vehicul.</t>
  </si>
  <si>
    <t>Pagina ADP consultată 2026-10-10 (HCL 303/23.12.2025)</t>
  </si>
  <si>
    <t>Pragul inferior de 3,5 t este din sursa secundară (restricție zona centrală); actul de taxe spune doar „sub 20 tone”. 2025: 84 lei (HCL 318/2024, Anexa 1, cap. XVI pct. 4).</t>
  </si>
  <si>
    <t>Actul de taxe vizează „străzi cu restricţii de tonaj” fără listă de străzi; după sursa secundară: străzile din zona centrală restricționate peste 3,5 t, restul municipiului peste 20 t. Lista/harta străzilor nu a fost găsită.</t>
  </si>
  <si>
    <t>20 t și peste (autovehicule sau ansambluri)</t>
  </si>
  <si>
    <t>lei/zi/vehicul.</t>
  </si>
  <si>
    <t>2025: 155 lei (HCL 318/2024, Anexa 1, cap. XVI pct. 5).</t>
  </si>
  <si>
    <t>agabaritice (autovehicule sau ansambluri)</t>
  </si>
  <si>
    <t>lei/zi/vehicul; verificări suplimentare de greutăți și trasee, timp de procesare mai lung.</t>
  </si>
  <si>
    <t>2025: 2.109 lei (HCL 318/2024, Anexa 1, cap. XVI pct. 6).</t>
  </si>
  <si>
    <t>Raza municipiului (în afara traseelor de tranzit)</t>
  </si>
  <si>
    <t>3,5-7,5 t inclusiv</t>
  </si>
  <si>
    <t>Program zi 06:00-22:00, noapte 22:00-06:00 (sursă secundară; tariful nu diferă).</t>
  </si>
  <si>
    <t>Staționarea/parcarea acestor vehicule pe domeniul public interzisă (art. 17, regulament 2015). Solicitantul suportă reparațiile drumului sau depoluarea cauzate (art. 16).</t>
  </si>
  <si>
    <t>Valoare 2026 din sursă secundară (raport neobișnuit lună/an, de verificat). Proiectul de regulament din 2015 (oficial, nr. HCL necompletat) indica 20 lei/zi, 300 lei/an. Scutiri (art. 19, 2015): instituții de stat, CNAIR, ambulanțe, urgențe, transporturi NATO/PfP, calamități, societăți ale municipiului/consiliului.</t>
  </si>
  <si>
    <t>Vehiculele peste 3,5 t în tranzit circulă pe străzile din art. 3 al regulamentului din 2015: Bicaz-Bacău: Petru Movilă - Bistriței - 9 Mai - Dimitrie Leonida - General Nicolae Dăscălescu; Bicaz-Roman: idem, apoi Izvoare - Gara Veche - Fermelor - Mihai Viteazu; Bicaz-Târgu Neamț: idem, apoi Izvoare - Gara Veche - Fermelor - Mihai Stamatin - Mihai Viteazu - 1 Decembrie 1918 - Cetatea Neamțului; Bacău-Târgu Neamț: General Nicolae Dăscălescu - Fermelor - Mihai Stamatin - Mihai Viteazu - 1 Decembrie 1918 - Cetatea Neamțului; Bacău-Roman: General Nicolae Dăscălescu - Fermelor - Mihai Viteazu. Pe celelalte străzi: cu autorizație (art. 15).</t>
  </si>
  <si>
    <t>Valoare 2026 din sursă secundară (raport neobișnuit lună/an, de verificat). Proiectul de regulament din 2015 (oficial, nr. HCL necompletat) indica 40 lei/zi, 500 lei/an. Scutiri (art. 19, 2015): instituții de stat, CNAIR, ambulanțe, urgențe, transporturi NATO/PfP, calamități, societăți ale municipiului/consiliului.</t>
  </si>
  <si>
    <t>Valoare 2026 din sursă secundară (raport neobișnuit lună/an, de verificat). Proiectul de regulament din 2015 (oficial, nr. HCL necompletat) indica 50 lei/zi, 600 lei/an. Scutiri (art. 19, 2015): instituții de stat, CNAIR, ambulanțe, urgențe, transporturi NATO/PfP, calamități, societăți ale municipiului/consiliului.</t>
  </si>
  <si>
    <t>mărfuri periculoase (ADR)</t>
  </si>
  <si>
    <t>Valoare 2026 din sursă secundară (raport neobișnuit lună/an, de verificat). Proiectul de regulament din 2015 (oficial, nr. HCL necompletat) indica 50 lei/zi, 200 lei/an. Scutiri (art. 19, 2015): instituții de stat, CNAIR, ambulanțe, urgențe, transporturi NATO/PfP, calamități, societăți ale municipiului/consiliului.</t>
  </si>
  <si>
    <t>vehicule care depășesc masele legale (agabaritice)</t>
  </si>
  <si>
    <t>Valoare 2026 din sursă secundară (raport neobișnuit lună/an, de verificat). Proiectul de regulament din 2015 (oficial, nr. HCL necompletat) indica agabaritic 50 lei/zi, 500 lei/an. Scutiri (art. 19, 2015): instituții de stat, CNAIR, ambulanțe, urgențe, transporturi NATO/PfP, calamități, societăți ale municipiului/consiliului.</t>
  </si>
  <si>
    <t>Nu s-a găsit taxă de acces sau autorizație de liberă trecere pentru vehicule grele. Căutări: „Slatina taxă acces autovehicule peste 3,5 tone HCL”, „Slatina restricție circulație mare tonaj zona centrală”, „Slatina camioane interzise centru autorizație Poliția Locală”, căutare pe domeniul primariaslatina.ro (rezultate fără legătură: taxi, formulare). HCL h_559_191225.pdf (posibil taxe locale 2026) nu a putut fi deschis (redirect circular).</t>
  </si>
  <si>
    <t>ZONA A</t>
  </si>
  <si>
    <t>permanent</t>
  </si>
  <si>
    <t>Amendă 250-2.500 lei. Exceptate: vehicule de intervenție și ale serviciilor municipale (permis special gratuit), autobuze de transport public pe trasee alocate.</t>
  </si>
  <si>
    <t>2011-04-27</t>
  </si>
  <si>
    <t>Anexe (hărți zone, străzi, tarife, procedură): https://ploiesti.ro/wp-content/uploads/hcl-pdf/HCL-2011-131-anexa.pdf (scanat, nelizibil automat)</t>
  </si>
  <si>
    <t>Definită în Anexa 1 la HCL 131/2011 (nelizibilă automat); străzile care o delimitează nu sunt restricționate.</t>
  </si>
  <si>
    <t>Municipiul Ploiești, în afara Zonei A</t>
  </si>
  <si>
    <t>Autorizație necesară în intervalul 6:00-22:00 (textul paginii: «6% - 22%», probabil eroare de codare); 22:00-6:00 circulație liberă în afara Zonei A</t>
  </si>
  <si>
    <t>Tarifele în Anexa 3 la HCL 131/2011 (nelizibilă). Există și autorizații pe perioade mai lungi.</t>
  </si>
  <si>
    <t>Sume negăsite. Anexe (hărți zone, străzi, tarife, procedură): https://ploiesti.ro/wp-content/uploads/hcl-pdf/HCL-2011-131-anexa.pdf (scanat, nelizibil automat)</t>
  </si>
  <si>
    <t>Întregul municipiu, cu excepția Zonei A</t>
  </si>
  <si>
    <t>ZONA B și străzile din Anexa 2</t>
  </si>
  <si>
    <t>3,5 - 7,5 t</t>
  </si>
  <si>
    <t>toată ziua, fără autorizație de acces</t>
  </si>
  <si>
    <t>Pe străzile care nu sunt în Anexa 2, vehiculele 3,5-7,5 t au nevoie de autorizație în intervalul 6:00-22:00.</t>
  </si>
  <si>
    <t>Definite în Anexele 1 și 2 la HCL 131/2011 (nelizibile automat)</t>
  </si>
  <si>
    <t>Municipiul Ploiești - străzi care nu sunt în Anexa 2 (în afara Zonei A)</t>
  </si>
  <si>
    <t>autorizație necesară 6:00-22:00</t>
  </si>
  <si>
    <t>Sume negăsite (Anexa 3). Formular oficial «&gt;3,5 t cu valabilitate 1 zi» există. Anexe (hărți zone, străzi, tarife, procedură): https://ploiesti.ro/wp-content/uploads/hcl-pdf/HCL-2011-131-anexa.pdf (scanat, nelizibil automat)</t>
  </si>
  <si>
    <t>Negăsit (anexe scanate)</t>
  </si>
  <si>
    <t>Raza municipiului Satu Mare (în afara traseelor de tranzit)</t>
  </si>
  <si>
    <t>Fără restricție orară în afara zonei centrale; în zona centrală se aplică orarul art. 8.</t>
  </si>
  <si>
    <t>Ansamblu tractor + semiremorcă: masa = suma MTMA a celor două unități (art. 6 alin. 2 din HCL 76/2015; de reverificat în HCL 139/2023). Firmele cu sediul în Satu Mare și loc de parcare propriu pot obține gratuit autorizație de retragere la garaj (art. 9), nevalabilă în zona centrală. Amenzi: 1.500-2.500 lei fără autorizație / depășire tonaj; 1.000-2.000 lei pentru neprezentarea originalului.</t>
  </si>
  <si>
    <t>HCL 139/2023; pagini consultate 2026-10-10</t>
  </si>
  <si>
    <t>Autorizație 24 de ore. Scutiți fără autorizație/taxă: autorități și instituții publice, S.C. Transurban, vehicule pentru examen auto; autorizație gratuită la cerere: intervenții rețele utilități, inspectori primărie, transport instituții culturale/religioase, transport caritabil, operatori plătiți din bugetul local (art. 15).</t>
  </si>
  <si>
    <t>Întreaga rază a municipiului (art. 6 alin. 2: accesul se face doar cu autorizație), cu excepția traseelor de tranzit art. 7: centura ocolitoare (direcțiile Cluj/Zalău, Oradea/Carei, Petea, Baia Mare/Halmeu); din Oradea: str. Careiului, Platanului, Energiei, Magnoliei până la sensul giratoriu Cloșca, apoi centura; din Baia Mare: str. Botizului până la sensul giratoriu Kaufland; din Odoreu: Calea Odoreului, str. Botizului; din Păulești: str. Păulești, bd. Lucian Blaga până la DN 19A, apoi centura (rezumat după art. 7).</t>
  </si>
  <si>
    <t>Abonament 1 lună (30 zile); nu este valabil în zona centrală. Scutiți fără autorizație/taxă: autorități și instituții publice, S.C. Transurban, vehicule pentru examen auto; autorizație gratuită la cerere: intervenții rețele utilități, inspectori primărie, transport instituții culturale/religioase, transport caritabil, operatori plătiți din bugetul local (art. 15).</t>
  </si>
  <si>
    <t>Abonament 6 luni (180 zile); nu este valabil în zona centrală. Scutiți fără autorizație/taxă: autorități și instituții publice, S.C. Transurban, vehicule pentru examen auto; autorizație gratuită la cerere: intervenții rețele utilități, inspectori primărie, transport instituții culturale/religioase, transport caritabil, operatori plătiți din bugetul local (art. 15).</t>
  </si>
  <si>
    <t>Abonament 1 an (365 zile); nu este valabil în zona centrală. Scutiți fără autorizație/taxă: autorități și instituții publice, S.C. Transurban, vehicule pentru examen auto; autorizație gratuită la cerere: intervenții rețele utilități, inspectori primărie, transport instituții culturale/religioase, transport caritabil, operatori plătiți din bugetul local (art. 15).</t>
  </si>
  <si>
    <t>7,51-20 t inclusiv</t>
  </si>
  <si>
    <t>20,1-40 t inclusiv</t>
  </si>
  <si>
    <t>Zona centrală Satu Mare</t>
  </si>
  <si>
    <t>Zona centrală: acces permis 06:00-07:30, 09:00-15:30, 18:00-22:00; interzis 07:30-09:00, 15:30-18:00, 22:00-06:00 (art. 8).</t>
  </si>
  <si>
    <t>Până la 7,5 t: acces pentru aprovizionare cu autorizație, în intervalele permise; firmele cu contracte de durată pot cumpăra abonament (art. 8 alin. 4) la tarif standard, eliberat la Primărie.</t>
  </si>
  <si>
    <t>Art. 8 alin. 1 declară zona centrală interzisă transportului greu; accesul se face prin excepție, cu autorizație, în intervalele permise. Abonamentele online nu sunt valabile în zona centrală.</t>
  </si>
  <si>
    <t>Art. 3 lit. c: M. Viteazul, P-ța Jean Calvin, Iuliu Maniu (între P-ța Jean Calvin și str. Retezatului), Retezatului, Kogălniceanu, Petőfi, Păstrăvului, P. Bran, C. Brâncoveanu, P-ța 25 Octombrie, I. C. Brătianu, E. Lovinescu, Parângului, G. Doja, Horea, P-ța Libertății, Ștefan cel Mare (între str. Iuliu Maniu și P-ța Libertății), Decebal, Cetății, M. Klein, M. Eminescu, Mircea cel Bătrân, Aurel Pop, G. Șincai, Ion Budai Deleanu, A.I. Cuza, G. Lazăr, 1 Decembrie 1918.</t>
  </si>
  <si>
    <t>Peste 7,5 t: doar autorizație 24 h (art. 8 alin. 5); abonament doar de la sediul Primăriei (art. 8 alin. 6), cu aceleași restricții orare.</t>
  </si>
  <si>
    <t>Trasee de tranzit (art. 7)</t>
  </si>
  <si>
    <t>Tranzit fără autorizație doar pe traseele marcate (linie verde pe hartă).</t>
  </si>
  <si>
    <t>Vehiculele peste 3,5 t pot tranzita fără autorizație numai pe aceste trasee.</t>
  </si>
  <si>
    <t>centura ocolitoare (direcțiile Cluj/Zalău, Oradea/Carei, Petea, Baia Mare/Halmeu); din Oradea: str. Careiului, Platanului, Energiei, Magnoliei până la sensul giratoriu Cloșca, apoi centura; din Baia Mare: str. Botizului până la sensul giratoriu Kaufland; din Odoreu: Calea Odoreului, str. Botizului; din Păulești: str. Păulești, bd. Lucian Blaga până la DN 19A, apoi centura (rezumat după art. 7).</t>
  </si>
  <si>
    <t>sibiu.ro și politialocalasibiu.ro blochează preluarea automată (robots); bugetul de căutare web s-a epuizat înainte de Sibiu. Necesită verificare manuală.</t>
  </si>
  <si>
    <t>Străzile municipiului supuse restricției de tonaj (&gt;3,5 t)</t>
  </si>
  <si>
    <t>3,501-7,5 t</t>
  </si>
  <si>
    <t>Aprovizionare magazine: vehicule cu MTMA de 7,5 t și peste doar 06:00-07:00 și 20:00-22:00 (pagina oficială a aplicației); sursa secundară (HCL 300/2018 art. 8 alin. 2) indică 06:00-07:00 și 18:00-22:00 pentru vehicule peste 3,5 t.</t>
  </si>
  <si>
    <t>Ansamblu tractor + remorcă/semiremorcă: se cumulează tariful pentru masa proprie a tractorului cu tariful pentru MTMA a remorcii (ex. oficial: tractor 8,25 t + semiremorcă 39 t = 40 + 80 = 120 lei/zi la tarifele vechi). Perioadă: zi, lună sau multipli, fără a depăși 31 decembrie al anului curent.</t>
  </si>
  <si>
    <t>2026 (proiect HCL, știre svnews.ro 17.12.2025)</t>
  </si>
  <si>
    <t>Valoare 2026 dintr-o știre despre proiectul de HCL (adoptarea neconfirmată). 2024 (HCL 407/2023, sursă secundară): 43 lei. Pagina oficială a aplicației afișează 30 lei (tarif vechi, nedatat).</t>
  </si>
  <si>
    <t>Întreg municipiul, pe drumurile publice aflate în administrarea municipiului cu restricție de tonaj; traseele permise sunt afișate pe hartă în aplicația „Suceava Transport”, filtrate după tipul transportului și masă. Limite textuale negăsite.</t>
  </si>
  <si>
    <t>Valoare 2026 dintr-o știre despre proiectul de HCL (adoptarea neconfirmată). 2024 (HCL 407/2023, sursă secundară): 427 lei. Pagina oficială a aplicației afișează 300 lei (tarif vechi, nedatat).</t>
  </si>
  <si>
    <t>7,501-16 t</t>
  </si>
  <si>
    <t>2024 (HCL 407/2023, bursatransport 01-02-2024)</t>
  </si>
  <si>
    <t>Valoarea pentru 2026 la această clasă NU a fost găsită; se raportează valoarea 2024. Pagina oficială a aplicației afișează 40 lei (tarif vechi, nedatat). Presa locală menționează o majorare de 10% (anul neconfirmat).</t>
  </si>
  <si>
    <t>Valoarea pentru 2026 la această clasă NU a fost găsită; se raportează valoarea 2024. Pagina oficială a aplicației afișează 400 lei (tarif vechi, nedatat). Presa locală menționează o majorare de 10% (anul neconfirmat).</t>
  </si>
  <si>
    <t>16,001-26 t</t>
  </si>
  <si>
    <t>Valoarea pentru 2026 la această clasă NU a fost găsită; se raportează valoarea 2024. Pagina oficială a aplicației afișează 60 lei (tarif vechi, nedatat). Presa locală menționează o majorare de 10% (anul neconfirmat).</t>
  </si>
  <si>
    <t>Valoarea pentru 2026 la această clasă NU a fost găsită; se raportează valoarea 2024. Pagina oficială a aplicației afișează 600 lei (tarif vechi, nedatat). Presa locală menționează o majorare de 10% (anul neconfirmat).</t>
  </si>
  <si>
    <t>26,001-40 t</t>
  </si>
  <si>
    <t>Valoarea pentru 2026 la această clasă NU a fost găsită; se raportează valoarea 2024. Pagina oficială a aplicației afișează 80 lei (tarif vechi, nedatat). Presa locală menționează o majorare de 10% (anul neconfirmat).</t>
  </si>
  <si>
    <t>Valoarea pentru 2026 la această clasă NU a fost găsită; se raportează valoarea 2024. Pagina oficială a aplicației afișează 800 lei (tarif vechi, nedatat). Presa locală menționează o majorare de 10% (anul neconfirmat).</t>
  </si>
  <si>
    <t>Valoare 2026 dintr-o știre despre proiectul de HCL (adoptarea neconfirmată). 2024 (HCL 407/2023, sursă secundară): 142 lei. Pagina oficială a aplicației afișează 100 lei (tarif vechi, nedatat).</t>
  </si>
  <si>
    <t>Valoare 2026 dintr-o știre despre proiectul de HCL (adoptarea neconfirmată). 2024 (HCL 407/2023, sursă secundară): 1423 lei. Pagina oficială a aplicației afișează 1000 lei (tarif vechi, nedatat).</t>
  </si>
  <si>
    <t>Zona pietonală - str. Unirii</t>
  </si>
  <si>
    <t>&gt;3,5 t și &lt;7,5 t</t>
  </si>
  <si>
    <t>Acces riverani zilnic 24:00-07:00 și 08:15-10:30 (art. 7 alin. 2); acces excepțional în afara intervalelor cu aprobarea Poliției Locale; staționare max. 5 minute.</t>
  </si>
  <si>
    <t>Riveranii au acces cu vehicule de max. 3,5 t; vehiculele 3,5-7,5 t necesită PLT; se cere dovada calității de riveran.</t>
  </si>
  <si>
    <t>2026 (consultare publică; notă de completare 30.06.2026)</t>
  </si>
  <si>
    <t>PROIECT în transparență decizională, nu act adoptat; adoptarea nu a putut fi verificată. PLT zilnic valabil 24 h de la emitere; duplicat PLT 10 lei. Scutiri (art. 27, proiect): forțe de ordine/urgență, vehiculele municipiului și ale instituțiilor/societăților subordonate, ambulanță, transport funerar, NATO, intervenții la dezastre, operatori de utilități și operatorul ECODES; contractorii municipiului primesc PLT galben fără plată. Text extras automat (OCR): unele denumiri de străzi au fost corectate ortografic.</t>
  </si>
  <si>
    <t>Strada Unirii, conform planului din Anexa 4; intrările/ieșirile sunt semnalizate.</t>
  </si>
  <si>
    <t>&gt;3,5 t</t>
  </si>
  <si>
    <t>Circulația în baza PLT în zona 0 este interzisă în intervalele orare 07:00-08:15 și 14:30-17:00 (art. 6 alin. 3).</t>
  </si>
  <si>
    <t>PLT valabil doar pentru vehiculele care aprovizionează/deservesc zona 0 (art. 6 alin. 4); acces pe traseele stabilite.</t>
  </si>
  <si>
    <t>Zona 0: delimitată de B-dul Mihai Viteazul (de la intersecția cu str. Tudor Vladimirescu, zona autogării, până la Piața Iuliu Maniu), str. Armoniei, Aleea Ritmului, str. Simion Bărnuțiu (între Maxim Gorki și Crișan), str. Crișan, str. 9 Mai până la Piața 1 Decembrie 1918, exclusiv tronsonul pietonal din Anexa 4; include și: str. Nicolae Titulescu (Cloșca - Piața 1 Decembrie 1918), str. Crinului, str. T. Vladimirescu (zona Perla - str. Porolissum), str. Gheorghe Lazăr, str. Corneliu Coposu (Avram Iancu/Alexandru Lăpușneanu - Piața Iuliu Maniu), str. Kossuth Lajos, str. Andrei Șaguna (Piața Iuliu Maniu - Gheorghe Lazăr), str. Simion Gros, str. Gheorghe Doja (Mihai Eminescu - 22 Decembrie 1989), str. 22 Decembrie 1989 (Gheorghe Doja - str. Parcului).</t>
  </si>
  <si>
    <t>Zona 1</t>
  </si>
  <si>
    <t>&gt;7,5 t</t>
  </si>
  <si>
    <t>Acces pe traseele stabilite.</t>
  </si>
  <si>
    <t>Zona 1: străzile din restul orașului, altele decât traseul traficului greu de tranzit, zona 0, zona pietonală (str. Unirii) și zona 2.</t>
  </si>
  <si>
    <t>Zona 2</t>
  </si>
  <si>
    <t>Zona 2 are trasee de acces proprii (art. 5 alin. 2).</t>
  </si>
  <si>
    <t>Zona 2: str. Gheorghe Doja (de la intrarea în oraș până la str. Mihai Eminescu), Corneliu Coposu (Gheorghe Doja - Avram Iancu), Avram Iancu, Olarilor, Mihai Eminescu, Vânătorilor, Aleea Dealului, Cetinei, Alexandru Lăpușneanu, Ștefan cel Mare, Alexandru Ioan Cuza, Tipografilor, Episcopiei, Cascadei, Pârâului, Pinului.</t>
  </si>
  <si>
    <t>Parcare în spatele „clădirii albastre” (ECODES)</t>
  </si>
  <si>
    <t>permis de staționare &gt;0 și ≤7,5 t</t>
  </si>
  <si>
    <t>Permis de staționare, nu de circulație.</t>
  </si>
  <si>
    <t>Parcarea din spatele „clădirii albastre” (descriere din proiect, fără alte limite).</t>
  </si>
  <si>
    <t>Traseu trafic greu de tranzit</t>
  </si>
  <si>
    <t>orice tonaj (trafic greu și de tranzit)</t>
  </si>
  <si>
    <t>Circulație „FĂRĂ PLT ȘI FĂRĂ RESTRICȚII”, cu respectarea OG 43/1997 și a indicatoarelor.</t>
  </si>
  <si>
    <t>Varianta Ocolitoare Zalău (de la intersecția DN1F/E81 până la sensul giratoriu de pe B-dul Mihai Viteazul); B-dul Mihai Viteazul (de la intersecția cu pasarela Crișeni până la limita UAT Hereclean, tronson DN1H); Pasarela Crișeni (până la limita UAT Crișeni, tronson DN1H).</t>
  </si>
  <si>
    <t>Nu s-a găsit taxă de acces/autorizație de liberă trecere pentru vehicule grele. Căutare pe domeniul alexandria.ro: doar parcări, salubrizare, impozit pe mijloace de transport &gt;12 t (anexa 2024), HCL 403/29.12.2025 (subiect neverificat; site-ul blochează citirea automată).</t>
  </si>
  <si>
    <t>Zonele cu restricție de tonaj de pe raza municipiului</t>
  </si>
  <si>
    <t>peste 3,5 t MTMA (clase 3,5 / 5 / 7,5 / 40-41 t menționate)</t>
  </si>
  <si>
    <t>Proiect (presă): noaptea 22:00-06:00 accesul devine plătit, la 50% din tariful de zi</t>
  </si>
  <si>
    <t>Circulația permisă doar pe drumurile pentru care s-a achitat taxa; verificarea gabaritului străzii. Amendă 5.000 lei (fără autorizație, în afara orarului, autorizație folosită pe alt vehicul).</t>
  </si>
  <si>
    <t>2026-08-04</t>
  </si>
  <si>
    <t>Tarifele «pot fi consultate tot pe portalul Primăriei»; sumele nu au putut fi citite (PDF-urile de pe assets.primariatm.ro nu sunt lizibile automat). Minuta dezbaterii 18.02.2026: primele trei categorii reduse cu 50%, următoarele două majorate cu 30% față de HCL 649/2022.</t>
  </si>
  <si>
    <t>Limitele oficiale negăsite (anexele HCL nu au putut fi citite). Presă (proiect, 29.01.2026): Bd. Liviu Rebreanu, Bd. Cetății, Str. Cloșca; coridorul Dorobanților - Andrei Șaguna - Baba Dochia - Ștefan O. Iosif (Calea Lugojului - zona industrială Calea Buziașului); coridor nou pentru &gt;7,5 t în nordul și vestul orașului; în rest 5 t pe bulevarde și 3,5 t pe străzile secundare.</t>
  </si>
  <si>
    <t>Abonament lunar sau anual (comunicat Poliția Locală). Minuta 18.02.2026: «se poate face abonament sau autorizație care costă 100 de lei» (context neclar, nu e tarif confirmat).</t>
  </si>
  <si>
    <t>Sume negăsite.</t>
  </si>
  <si>
    <t>Zona Cetate</t>
  </si>
  <si>
    <t>permanent; aprovizionare cu vehicule ≤3,5 t 06:00-10:00, drop-off 06:00-22:00</t>
  </si>
  <si>
    <t>Art. 5(1): acces interzis peste 3,5 t; excepții rare aprobate de Comisia de Circulație (art. 5(2)). Exceptați: transport valori, MAI, MApN, Ministerul Justiției, ambulanță, Poliția Locală.</t>
  </si>
  <si>
    <t>Permise de acces prin Comisia de Circulație a Municipiului Timișoara.</t>
  </si>
  <si>
    <t>Regulament privind reglementarea circulației autovehiculelor în zona Cetate - Timișoara, modificat de Comisia de Circulație la 02.04.2026, în vigoare 03.04.2026 (înlocuiește decizia TMI2025-054650/18.12.2025)</t>
  </si>
  <si>
    <t>2026-04-02</t>
  </si>
  <si>
    <t>https://assets.primariatm.ro/883c77ad-bfd7-4d46-817a-823c05d3c322.pdf</t>
  </si>
  <si>
    <t>Act al Comisiei de Circulație, nu HCL. Fără taxă de acces în document.</t>
  </si>
  <si>
    <t>Perimetru definit în Anexa 1 a regulamentului (anexa nu a fost disponibilă). Străzi/piețe nominalizate: Piața Victoriei, Piața Unirii, Piața Libertății, str. Alba Iulia (acces restricționat suplimentar).</t>
  </si>
  <si>
    <t>Străzi cu restricții de tonaj din municipiul Tulcea (inclusiv zona centrală)</t>
  </si>
  <si>
    <t>Peste 3,5 tone - maxim 7,5 tone</t>
  </si>
  <si>
    <t>Zona centrală, aprovizionare zilnică: autovehiculele între 3,5 - 7,5 tone inclusiv - pe toată perioada zilei.</t>
  </si>
  <si>
    <t>pagină „Permise liberă trecere” accesată 2026-10-10 (fără dată de publicare; HCL din 28.02.2023)</t>
  </si>
  <si>
    <t>Valori de pe pagina oficială a Primăriei, nu din textul HCL 40/2023 (PDF scanat, ilizibil automat). HCL 370/30.12.2025 (taxe locale 2026) nu menționează L.T. în partea citită. Scutirile nu sunt menționate pe pagină.</t>
  </si>
  <si>
    <t>Permisul de liberă trecere (L.T.) este necesar pentru circulația autovehiculelor cu masa maximă autorizată mai mare de 3,5 t pe străzile cu restricții de tonaj (lista completă a acestor străzi nu a fost citită). Zona centrală este formată din străzile: strada Unirii, strada Babadag de la intersecția cu strada Buna Vestire până la intersecția cu strada Păcii, strada Isaccei de la intersecția cu strada Păcii până la intersecția cu strada Spitalului, strada Păcii, strada Mică, strada Slt. Gavrilov Corneliu intersecție cu I.L. Caragiale, strada Dobrogeanu Gherea, strada Progresului, strada Victoriei, strada 1848, strada Mahmudiei intersecție cu strada Nicolae Bălcescu și strada Malcoci, strada Grigore Antipa.</t>
  </si>
  <si>
    <t>Peste 7,5 tone - maxim 12 tone</t>
  </si>
  <si>
    <t>Zona centrală, aprovizionare zilnică: autovehiculele între 7,5 - 12 tone inclusiv - între orele 18:00 - 07:00.</t>
  </si>
  <si>
    <t>Peste 12 tone - maxim 40 tone</t>
  </si>
  <si>
    <t>Zona centrală, aprovizionare zilnică: autovehiculele peste 12 tone - între orele 22:00 - 06:00.</t>
  </si>
  <si>
    <t>Peste 40 tone</t>
  </si>
  <si>
    <t>Autotractoare</t>
  </si>
  <si>
    <t>Existența permisului reiese din portalul oficial; pragul de tonaj, zonele, tarifele și HCL-ul nu sunt publicate pe pagină și nu au fost găsite. Căutări: taxă acces mare tonaj Vaslui, căutare pe primariavaslui.ro / se.primariavaslui.ro, pagina Taxe și impozite (fără mențiuni).</t>
  </si>
  <si>
    <t>Zona cu restricție de tonaj (&gt;3,5 t)</t>
  </si>
  <si>
    <t>3,5-5 t</t>
  </si>
  <si>
    <t>Program standard 06:00-09:00 și 18:00-22:00 (zi), 22:00-06:00 (noapte) (sursă secundară, sensul intervalelor neclar). Aprovizionarea stațiilor PECO, depozitelor de materiale de construcții și depozitelor alimentare de pe străzile restricționate doar 22:00-06:00.</t>
  </si>
  <si>
    <t>HCL 474/29.12.2025, aplicabil de la 1 ianuarie 2026</t>
  </si>
  <si>
    <t>Tarif confirmat din HCL 474/2025. Limitele zonei sunt din sursă secundară. Actul mai conține o „taxă specială de acces” de 467 lei/vehicul/an pentru autovehicule până la 3,5 t, fără precizarea zonei.</t>
  </si>
  <si>
    <t>Perimetru delimitat de: str. Mărășești, str. Cuza-Vodă, Calea Moldovei, bd. Brăilei, str. 1 Decembrie 1918, str. Vâlcele, str. Antrepozite, str. Dionysos și Centura municipală (sursă secundară, după anexa HCL 396/2016).</t>
  </si>
  <si>
    <t>3,5-5 t (plată SMS)</t>
  </si>
  <si>
    <t>EUR</t>
  </si>
  <si>
    <t>SMS cu textul „PF55 + nr. înmatriculare” la 7434; autorizație 24 h. Mărfuri periculoase, agabaritice, animale vii: 2 SMS-uri.</t>
  </si>
  <si>
    <t>bursatransport 19-06-2026 (tarife SMS valabile de la 1 ianuarie 2026)</t>
  </si>
  <si>
    <t>https://www.bursatransport.com/info/access/viewarticle/slug/taxe-acces-focsani</t>
  </si>
  <si>
    <t>Exemplele din sursă sunt incoerente (un exemplu indică 10 EUR pentru 5 t). Neconfirmat din actul oficial.</t>
  </si>
  <si>
    <t>5-7,5 t (plată SMS)</t>
  </si>
  <si>
    <t>SMS cu textul „PF66 + nr. înmatriculare” la 7434; autorizație 24 h. Mărfuri periculoase, agabaritice, animale vii: 2 SMS-uri.</t>
  </si>
  <si>
    <t>7,5-12,5 t (plată SMS)</t>
  </si>
  <si>
    <t>SMS cu textul „PF77 + nr. înmatriculare” la 7434; autorizație 24 h. Mărfuri periculoase, agabaritice, animale vii: 2 SMS-uri.</t>
  </si>
  <si>
    <t>peste 12,5 t (plată SMS)</t>
  </si>
  <si>
    <t>SMS cu textul „PF88 + nr. înmatriculare” la 7434; autorizație 24 h. Mărfuri periculoase, agabaritice, animale vii: 2 SMS-uri.</t>
  </si>
  <si>
    <t>Zona R (municipală)</t>
  </si>
  <si>
    <t>3,5-16 t, Grad I (acces zi, pe traseul din autorizație)</t>
  </si>
  <si>
    <t>Program zi 06:00-09:00 și 18:00-22:00; program noapte 22:00-06:00; interval special 09:00-18:00 doar pentru vehicule până la 16 t inclusiv.</t>
  </si>
  <si>
    <t>Site-ul primariavl.ro blochează accesul automat; neconfirmat din actul oficial.</t>
  </si>
  <si>
    <t>Zona R: N: str. Barajului (exclusiv), de la sensul giratoriu Calea lui Traian la sensul giratoriu str. Decebal; E: sensul giratoriu Goranu (bd. Tudor Vladimirescu și Calea București); S: str. Ștrandului (exclusiv), de la bd. Dem Rădulescu la Calea lui Traian, și Calea lui Traian (exclusiv), de la str. Ștrandului la str. Posada; V: str. Știrbei Vodă (exclusiv), de la str. Albinei la Splaiul Independenței.</t>
  </si>
  <si>
    <t>3,5-16 t, Grad II (acces noapte, pe toate arterele)</t>
  </si>
  <si>
    <t>Neconfirmat din actul oficial.</t>
  </si>
  <si>
    <t>16,01-24 t, Grad III / special (doar pe trasee avizate)</t>
  </si>
  <si>
    <t>Sursa este contradictorie: tabelul de tarife spune „exclusiv program de noapte”, descrierea gradului spune 00:00-24:00.</t>
  </si>
  <si>
    <t>Nu permite intrarea în Zona 0.</t>
  </si>
  <si>
    <t>3,5-16 t (vignetă 1 zi)</t>
  </si>
  <si>
    <t>Valabilă doar cu dovada plății.</t>
  </si>
  <si>
    <t>Zona 0 (centrală)</t>
  </si>
  <si>
    <t>3,5-16 t (doar aprovizionare)</t>
  </si>
  <si>
    <t>Doar 22:00-06:00, doar aprovizionare, doar cu ALT.</t>
  </si>
  <si>
    <t>Transport materiale de construcții: aviz primărie și traseu stabilit de municipalitate.</t>
  </si>
  <si>
    <t>Tariful specific pentru Zona 0 nu a fost găsit (probabil ALT Grad II); neconfirmat.</t>
  </si>
  <si>
    <t>Zona 0: N: bd. Nicolae Bălcescu (inclusiv); E: linia de cale ferată; S: râul Olănești; V: bd. Carol I (inclusiv).</t>
  </si>
  <si>
    <t>Permanent.</t>
  </si>
  <si>
    <t>Obiect</t>
  </si>
  <si>
    <t>Categorie</t>
  </si>
  <si>
    <t>Orar / restricție</t>
  </si>
  <si>
    <t>TollRo (taxare pe distanță)</t>
  </si>
  <si>
    <t>Categoria I TollRo: marfă, 3,5 t &lt; MTMA &lt;= 7,5 t; clasa Euro VI</t>
  </si>
  <si>
    <t>RON/km</t>
  </si>
  <si>
    <t>Tarif pe km parcurs (lei/km, TVA inclus), valoare = tarif unitar x km întregi. Clasă Euro nedeterminabilă = tarif Euro 0 (art. 6 alin. 3). Vehiculele mixte sunt tratate ca vehicule de marfă. Neplată: notificare CNAIR, plată în 72 h; apoi amendă 10-20 x TollRo datorat, sau 5.000 lei dacă distanța nu poate fi stabilită; TollRo forfetar 2.000 lei (max. o dată la 12 h) când distanța nu se poate stabili (art. 19).</t>
  </si>
  <si>
    <t>Cont pe etoll.ro sau în aplicația TollRo (CNAIR): bilet de rută cumpărat înainte de călătorie (dată, origine, destinație; nu acoperă schimbarea traseului) sau sesiune de tarifare în aplicație plătită din portofel electronic. Plata prin OBU la furnizori SETRE anunțată de la 15.01.2027.</t>
  </si>
  <si>
    <t>Legea nr. 226/2023 (M.Of. 659/18.07.2023), modificată prin Legea nr. 103/2026 (M.Of. 520/24.06.2026) și Legea nr. 170/2026 (M.Of. 648/05.08.2026); tarife: Ordinul MT nr. 1.925/2025 (M.Of. 940/10.10.2025)</t>
  </si>
  <si>
    <t>2026-09-11</t>
  </si>
  <si>
    <t>https://erovinieta.net/tollro</t>
  </si>
  <si>
    <t>tip_taxa 'trecere' folosit convențional: tariful este PE KM, nu pe trecere. În aplicare de la 01.10.2026 00:00 pentru vehicule de marfă &gt;3,5 t, în locul rovinietei. Lansare cu defecțiuni; CNAIR: fără sancțiuni pentru cei care nu au putut plăti din cauza defecțiunilor (art. 9 alin. 4 din Normele de aplicare), platformă declarată remediată la 06.10.2026. UNTRR, FORT, COTAR cer suspendarea sancțiunilor (FORT până la 14.10.2026, COTAR până la 31.03.2027); nicio prelungire confirmată la 10.10.2026. Grila e identică în 4 surse secundare (erovinieta.net, eurobursatransport.ro, hotnews.ro, fuel-prices.eu); textul Ordinului 1.925/2025 nu a fost citit direct. Interoperabilitate SETRE: 15.01.2027.</t>
  </si>
  <si>
    <t>Categoria I TollRo: marfă, 3,5 t &lt; MTMA &lt;= 7,5 t; clasa Euro V-IV</t>
  </si>
  <si>
    <t>Categoria I TollRo: marfă, 3,5 t &lt; MTMA &lt;= 7,5 t; clasa Euro III-0</t>
  </si>
  <si>
    <t>Categoria II TollRo: marfă, 7,5 t &lt; MTMA &lt; 12 t; clasa Euro VI</t>
  </si>
  <si>
    <t>Categoria II TollRo: marfă, 7,5 t &lt; MTMA &lt; 12 t; clasa Euro V-IV</t>
  </si>
  <si>
    <t>Categoria II TollRo: marfă, 7,5 t &lt; MTMA &lt; 12 t; clasa Euro III-0</t>
  </si>
  <si>
    <t>Categoria III TollRo: marfă, MTMA &gt;= 12 t; clasa Euro VI</t>
  </si>
  <si>
    <t>Categoria III TollRo: marfă, MTMA &gt;= 12 t; clasa Euro V-IV</t>
  </si>
  <si>
    <t>Categoria III TollRo: marfă, MTMA &gt;= 12 t; clasa Euro III-0</t>
  </si>
  <si>
    <t>TollRo: sectoare DN din intravilanul municipiilor</t>
  </si>
  <si>
    <t>Vehicule de marfă &gt; 3,5 t</t>
  </si>
  <si>
    <t>Excluse din rețeaua SETRE România, deci fără TollRo.</t>
  </si>
  <si>
    <t>Legea nr. 226/2023, art. 2 lit. c)</t>
  </si>
  <si>
    <t>2023-07-18</t>
  </si>
  <si>
    <t>https://legislatie.just.ro/Public/DetaliiDocument/272230</t>
  </si>
  <si>
    <t>Confirmat și în FAQ etoll.ro (consultat 10.10.2026). Exact în aceste sectoare se aplică de regulă taxele locale de acces stabilite prin HCL, deci punctul de legătură dintre stratul național și cel local al hărții. Versiunea consolidată a legii nu avea dată afișată.</t>
  </si>
  <si>
    <t>Rovinietă (sistem vechi, vehicule marfă &gt; 3,5 t)</t>
  </si>
  <si>
    <t>C: marfă, 3,5 t &lt; MTMA &lt;= 7,5 t</t>
  </si>
  <si>
    <t>Durată exactă: 1 zi. TVA inclus. Nu includea taxele de pod (Fetești, Giurgeni).</t>
  </si>
  <si>
    <t>Canale CNAIR (roviniete.ro) și distribuitori; nu se mai emite din 01.10.2026</t>
  </si>
  <si>
    <t>OG nr. 15/2002 modificată prin OG nr. 23/2025 (tarife CNAIR din 08.09.2025); OG 15/2002 abrogată prin Legea nr. 226/2023 la 01.10.2026</t>
  </si>
  <si>
    <t>2025-09-05</t>
  </si>
  <si>
    <t>https://economedia.ro/wp-content/uploads/2025/09/Tabele-ROVINIETA-PEAJ-.pdf</t>
  </si>
  <si>
    <t>ISTORIC: valabil 08.09.2025 - 30.09.2026. De la 01.10.2026 rovinieta NU se mai emite pentru vehicule de marfă &gt; 3,5 t (înlocuită de TollRo); rovinietele C-F emise anterior își pierd valabilitatea, restituire la cerere scrisă (UNTRR: disponibil din 01.10.2026). Grila nu diferenția pe clasă Euro. Perioada de 90 zile nu mai apare în grila 2025 (apărea într-o grilă mai veche, nedatată, DRDP Timișoara). Aceleași valori și în alba24.ro (07.09.2025).</t>
  </si>
  <si>
    <t>Durată exactă: 7 zile. TVA inclus. Nu includea taxele de pod (Fetești, Giurgeni).</t>
  </si>
  <si>
    <t>Durată exactă: 30 zile. TVA inclus. Nu includea taxele de pod (Fetești, Giurgeni).</t>
  </si>
  <si>
    <t>Durată exactă: 12 luni. TVA inclus. Nu includea taxele de pod (Fetești, Giurgeni).</t>
  </si>
  <si>
    <t>D: marfă, 7,5 t &lt; MTMA &lt; 12 t</t>
  </si>
  <si>
    <t>E: marfă, MTMA &gt;= 12 t, max. 3 axe</t>
  </si>
  <si>
    <t>F: marfă, MTMA &gt;= 12 t, min. 4 axe</t>
  </si>
  <si>
    <t>Rovinietă (vehicule marfă &lt;= 3,5 t)</t>
  </si>
  <si>
    <t>B: marfă, MTMA &lt;= 3,5 t; clasa Electric</t>
  </si>
  <si>
    <t>Durată exactă: 1 zi. TVA inclus. Clasă Euro necunoscută = tarif Euro 0; electrice fără clasă: câmpul P.3 din certificatul de înmatriculare. Se poate cumpăra cu max. 30 zile înainte (Legea 226/2023 art. 5 alin. 3).</t>
  </si>
  <si>
    <t>etoll.ro / aplicația TollRo (CNAIR); din 01.10.2026 rovinietele noi se emit prin platforma TollRo</t>
  </si>
  <si>
    <t>Ordinul MTI nr. 888/2026 (M.Of. nr. 818 din 25.09.2026); Legea nr. 226/2023</t>
  </si>
  <si>
    <t>2026-09-30</t>
  </si>
  <si>
    <t>https://www.fiscalitatea.ro/rovinieta-si-tollro-de-la-1-octombrie-2026-tarife-noi-in-lei-25041/</t>
  </si>
  <si>
    <t>Valabil pentru rovinietele cu început de valabilitate de la 01.10.2026. Aceleași valori în fuel-prices.eu (01.10.2026). Vechiul tarif cat. B Euro 6: 52,58 lei/1 zi, 599,46 lei/12 luni (fuel-prices.eu). Nu se aplică N2/N3, inclus pentru vanuri N1.</t>
  </si>
  <si>
    <t>Durată exactă: 10 zile. TVA inclus. Clasă Euro necunoscută = tarif Euro 0; electrice fără clasă: câmpul P.3 din certificatul de înmatriculare. Se poate cumpăra cu max. 30 zile înainte (Legea 226/2023 art. 5 alin. 3).</t>
  </si>
  <si>
    <t>Durată exactă: 30 zile. TVA inclus. Clasă Euro necunoscută = tarif Euro 0; electrice fără clasă: câmpul P.3 din certificatul de înmatriculare. Se poate cumpăra cu max. 30 zile înainte (Legea 226/2023 art. 5 alin. 3).</t>
  </si>
  <si>
    <t>Perioadă neclară: sursa are două valori „lună” pentru aceeași clasă (probabil 30 și 60/90 de zile). De verificat pe erovinieta.ro. Valabil pentru rovinietele cu început de valabilitate de la 01.10.2026. Aceleași valori în fuel-prices.eu (01.10.2026). Vechiul tarif cat. B Euro 6: 52,58 lei/1 zi, 599,46 lei/12 luni (fuel-prices.eu). Nu se aplică N2/N3, inclus pentru vanuri N1.</t>
  </si>
  <si>
    <t>Durată exactă: 60 zile. TVA inclus. Clasă Euro necunoscută = tarif Euro 0; electrice fără clasă: câmpul P.3 din certificatul de înmatriculare. Se poate cumpăra cu max. 30 zile înainte (Legea 226/2023 art. 5 alin. 3).</t>
  </si>
  <si>
    <t>Durată exactă: 12 luni. TVA inclus. Clasă Euro necunoscută = tarif Euro 0; electrice fără clasă: câmpul P.3 din certificatul de înmatriculare. Se poate cumpăra cu max. 30 zile înainte (Legea 226/2023 art. 5 alin. 3).</t>
  </si>
  <si>
    <t>B: marfă, MTMA &lt;= 3,5 t; clasa Euro VI</t>
  </si>
  <si>
    <t>B: marfă, MTMA &lt;= 3,5 t; clasa Euro V-IV</t>
  </si>
  <si>
    <t>B: marfă, MTMA &lt;= 3,5 t; clasa Euro III-0</t>
  </si>
  <si>
    <t>Pod Fetești-Cernavodă (A2)</t>
  </si>
  <si>
    <t>Toate categoriile</t>
  </si>
  <si>
    <t>Vehiculele de marfă &gt; 3,5 t plătesc TollRo pe km pe A2 (dacă podul e taxat implicit prin TollRo nu e precizat explicit în surse).</t>
  </si>
  <si>
    <t>Ordinul MTI nr. 913/2026 (M.Of. nr. 824 din 28.09.2026) abrogă tarifele de pod de la 01.10.2026; OG 15/2002 abrogată prin Legea 226/2023</t>
  </si>
  <si>
    <t>2026-10-01</t>
  </si>
  <si>
    <t>https://www.fuel-prices.eu/news/romania-vignette-tollro-october-2026/</t>
  </si>
  <si>
    <t>Taxă eliminată de la 01.10.2026 (confirmă și profit.ro 25.09.2026, cotidianul.ro 22.09.2026, wall-street.ro). ISTORIC 08.09.2025-30.09.2026, lei/trecere: marfă &gt;3,5 t și &lt;12 t: 69 (2 treceri 137, 20 treceri 1.195); &gt;=12 t max. 3 axe: 94 (187; 1.628); &gt;=12 t min. 4 axe: 133 (266; 2.315); &lt;=3,5 t: 19. Sursa istoric: tabel CNAIR via economedia.ro 05.09.2025.</t>
  </si>
  <si>
    <t>Pod Giurgeni-Vadu Oii (DN2A)</t>
  </si>
  <si>
    <t>Vehiculele de marfă &gt; 3,5 t plătesc TollRo pe km pe DN2A.</t>
  </si>
  <si>
    <t>Ordinul MTI nr. 913/2026 (M.Of. nr. 824 din 28.09.2026); Legea 226/2023</t>
  </si>
  <si>
    <t>Taxă eliminată de la 01.10.2026. ISTORIC 08.09.2025-30.09.2026, lei/trecere: marfă &gt;3,5 t și &lt;12 t: 38 (20 treceri 662); &gt;=12 t max. 3 axe: 63 (1.095); &gt;=12 t min. 4 axe: 94 (1.628); &lt;=3,5 t: 16. Sursa istoric: tabel CNAIR via economedia.ro 05.09.2025.</t>
  </si>
  <si>
    <t>Pod Giurgiu-Ruse (taxa părții române)</t>
  </si>
  <si>
    <t>Taxa părții bulgare (direcția Ruse-Giurgiu) rămâne, vezi înregistrarea separată.</t>
  </si>
  <si>
    <t>Legea 226/2023 (abrogare OG 15/2002); tarifele vechi: Ordinul MT nr. 1.836/2018 Anexa 3</t>
  </si>
  <si>
    <t>2026-09-25</t>
  </si>
  <si>
    <t>https://www.profit.ro/povesti-cu-profit/auto-transporturi/taxa-de-trecere-a-podului-de-la-giurgiu-ruse-eliminata-de-romania-bulgaria-se-mai-gandeste-22785333</t>
  </si>
  <si>
    <t>România nu mai încasează taxa de la 01.10.2026 (ministrul Radu Miruță). ISTORIC (digi24.ro, 08.05.2026), lei/trecere: 3,5-7,5 t: 58; 7,5-12 t: 88; &gt;12 t max. 3 axe: 122; &gt;12 t min. 4 axe: 180; &lt;=3,5 t: 29. Sistemul de plată online eTarifGiurgiuPod lansat iunie 2026 devine irelevant pentru partea română.</t>
  </si>
  <si>
    <t>Pod Giurgiu-Ruse (taxa părții bulgare)</t>
  </si>
  <si>
    <t>Vehicule de marfă (categorii bulgare)</t>
  </si>
  <si>
    <t>2026-09-22</t>
  </si>
  <si>
    <t>https://itpgo.ro/blog/rovinieta-1-octombrie-2026-tarife-euro-taxe-pod</t>
  </si>
  <si>
    <t>Sursa spune că taxa Ruse-Giurgiu rămâne, administrată de partea bulgară; profit.ro (25.09.2026): Bulgaria 'se mai gândește'. Valori negăsite.</t>
  </si>
  <si>
    <t>Pod Calafat-Vidin (Podul Dunăre 2)</t>
  </si>
  <si>
    <t>Marfă &lt;= 3,5 t (și autoturisme 8+1)</t>
  </si>
  <si>
    <t>La intrarea în Bulgaria se poate plăti și în lei: 30 RON. La ieșirea din Bulgaria doar EUR.</t>
  </si>
  <si>
    <t>Plată la punctul de taxare (plată online și bandă rapidă anunțate ca 'în curând')</t>
  </si>
  <si>
    <t>nedatat (subsol © 2025), consultat 2026-10-10</t>
  </si>
  <si>
    <t>https://vidincalafatbridge.bg/en/charges</t>
  </si>
  <si>
    <t>Pagina oficială a operatorului (nu act normativ), fără dată de intrare în vigoare. Taxă bulgară, neafectată de abrogarea OG 15/2002 (itpgo.ro; fuel-prices.eu: 'neschimbat, 6 EUR/autoturism'). Unele publicații au listat-o greșit ca eliminată.</t>
  </si>
  <si>
    <t>Marfă 3,5-7,5 t (și pasageri 9-23 locuri)</t>
  </si>
  <si>
    <t>La intrarea în Bulgaria se poate plăti și în lei: 61 RON. La ieșirea din Bulgaria doar EUR.</t>
  </si>
  <si>
    <t>Marfă 7,5-12 t</t>
  </si>
  <si>
    <t>La intrarea în Bulgaria se poate plăti și în lei: 91 RON. La ieșirea din Bulgaria doar EUR.</t>
  </si>
  <si>
    <t>Marfă &gt;= 12 t, max. 3 axe (și pasageri &gt; 23 locuri)</t>
  </si>
  <si>
    <t>La intrarea în Bulgaria se poate plăti și în lei: 127 RON. La ieșirea din Bulgaria doar EUR.</t>
  </si>
  <si>
    <t>Marfă &gt; 12 t, min. 4 axe</t>
  </si>
  <si>
    <t>La intrarea în Bulgaria se poate plăti și în lei: 188 RON. La ieșirea din Bulgaria doar EUR.</t>
  </si>
  <si>
    <t>Pod suspendat Brăila-Tulcea</t>
  </si>
  <si>
    <t>Pentru marfă &gt; 3,5 t se aplică TollRo pe km dacă drumul face parte din rețeaua SETRE (neconfirmat pentru pod).</t>
  </si>
  <si>
    <t>2023-07-05</t>
  </si>
  <si>
    <t>https://www.digi24.ro/stiri/actualitate/scriosteanu-despre-celebrul-pod-de-la-braila-este-proiectat-sa-dureze-120-de-ani-soferii-nu-platesc-taxa-de-trecere-in-primii-5-ani-2413365</t>
  </si>
  <si>
    <t>Declarație a secretarului de stat MT Ionel Scrioșteanu (2023): nu se plătește taxă de trecere în primii 5 ani de la deschiderea din 06.07.2023. capital.ro (15.06.2026) menționează o 'stație de taxare' la km 7 doar ca reper, fără tarif. Nicio sursă găsită cu tarif aplicat.</t>
  </si>
  <si>
    <t>Autorizație specială de transport (AST), depășire masă/gabarit</t>
  </si>
  <si>
    <t>Vehicule cu masă totală, sarcină pe axă sau dimensiuni peste limitele OG 43/1997</t>
  </si>
  <si>
    <t>Taxă de emitere AST regim normal (&gt;2 zile lucrătoare): 10% din totalul tarifelor de depășire, min. 10 EUR, max. 500 EUR; regim de urgență (&lt;2 zile lucrătoare): x1,5; deviz fără traseu 50 EUR; recântărire/re-măsurare 50 EUR. Tarife de depășire (EUR, x distanță unde e cazul): masă totală 0,02 x (G - mma/2); axă simplă 0,65 x (G - mma); axă dublă 0,7 x (G - mma)^2/(G - mma + 1); axă triplă 0,5 x (G - mma)^2/(G - mma + 1); lungime 0,008 x (L - Lma); lățime 0,025 x (l - lma) + 0,05; înălțime 0,04 x (h - hma) + 0,006; x1,5 peste sarcina max. din art. 41 alin. 8 OG 43/1997. Toleranțe fără AST (reintroduse din 17.02.2024): masă totală &lt;= 5%, axă &lt;= 4%, lungime &lt;= 1%, lățime &lt;= 2%, înălțime &lt;= 1 cm.</t>
  </si>
  <si>
    <t>La unitățile și subunitățile CNAIR sau la ACI (agenții de control și încasare, inclusiv la frontieră); emiterea e informatizată și integrată în aplicația de control la frontieră (economedia.ro, 13.02.2024). Platformă online publică dedicată: negăsită.</t>
  </si>
  <si>
    <t>OG nr. 43/1997 privind regimul drumurilor (art. 41); Ordinul MT nr. 1.836/2018 Anexa 1, modificată prin Ordinul MT nr. 748 din 07.03.2024; ordin MT semnat iunie 2026 (număr negăsit) care obligă CNAIR să publice AST-urile emise</t>
  </si>
  <si>
    <t>2024-03-15</t>
  </si>
  <si>
    <t>https://www.untrr.ro/ro/legislatie/in-vigoare/regimul-drumurilor-dimensiuni-si-greutati-maxime-admise-restrictii-de-circulatie/la-solicitarea-untrr-din-ultimii-5-ani-cnair-a-redus-tarifele-ast-autoriza-ie-speciala-de-transport.html</t>
  </si>
  <si>
    <t>Formulele sunt transcrise de UNTRR din Ordinul 748/2024; textul din M.Of. nu a fost citit. Iunie 2026 (newsweek.ro, digi24.ro 09.06.2026): CNAIR trebuie să publice pentru fiecare AST tipul mărfii (divizibilă/indivizibilă), depășirea de tonaj, restricțiile de traseu, valoarea și valabilitatea; MT anunță cântare dinamice și sancțiuni mai mari. Atenție: 'AST' la ARR înseamnă autorizație de transport alternativ (ride-sharing), altceva.</t>
  </si>
  <si>
    <t>Restricții caniculă (vehicule &gt; 7,5 t)</t>
  </si>
  <si>
    <t>MTMA &gt; 7,5 t</t>
  </si>
  <si>
    <t>12:00-20:00 în zilele anunțate</t>
  </si>
  <si>
    <t>Excepții (CNAIR 30.06.2026): transport persoane, animale vii, produse perisabile, forță majoră, funerar, poștal, prim ajutor, distribuție carburanți, mărfuri cu temperatură controlată, tractări, apă și alimente în zone de dezastru, apă îmbuteliată și băuturi răcoritoare, produse agricole, exerciții militare, SGR, panificație/patiserie/zahăr/cafea/ceai/băuturi, utilaje CNAIR și constructori, utilaje Magistrala 6 metrou. Lista variază de la un comunicat la altul.</t>
  </si>
  <si>
    <t>Nu există derogare plătită; doar categoriile exceptate</t>
  </si>
  <si>
    <t>Nespecificat în sursele citite (CNAIR invocă 'prevederile legale' care permit administratorului drumului restricții temporare)</t>
  </si>
  <si>
    <t>2026-06-30</t>
  </si>
  <si>
    <t>https://economedia.ro/cnair-limiteaza-traficul-greu-in-39-de-judete-din-cauza-temperaturilor-extreme.html</t>
  </si>
  <si>
    <t>Exemple 2026: 28.06 14:00-20:00 județe cod galben (tvrinfo.ro); 30.06 12:00-20:00 în 39 de județe; 04.08 12:00-20:00 Satu Mare, Bihor, Arad, Timiș (cod roșu, newsweek.ro 03.08.2026); 06.08 7 județe vestice (trafficban.com). Pragul de declanșare (cod galben/portocaliu/roșu) variază. Necesită feed dinamic, nu date statice. Se aplică doar pe rețeaua CNAIR, nu pe drumuri județene/locale.</t>
  </si>
  <si>
    <t>Restricții de sărbători: A2 București-Constanța</t>
  </si>
  <si>
    <t>MTMA &gt; 7,5 t, cu excepția vehiculelor destinate exclusiv transportului de persoane</t>
  </si>
  <si>
    <t>Pe perioade anunțate de CNAIR la sărbători (ex. Paște 09-13.04.2026, Rusalii 30.05-01.06.2026): în prima zi/zilele de început 16:00-22:00, în zilele de vârf 06:00-22:00</t>
  </si>
  <si>
    <t>Contravenție clasa IV, 9-20 puncte amendă (1.822,5-2.025 lei la 202,5 lei/punct; punctul crește la 216,25 lei de la 01.07.2026).</t>
  </si>
  <si>
    <t>Ordinul MT-MAI nr. 1249-132/2018</t>
  </si>
  <si>
    <t>2026-04-07</t>
  </si>
  <si>
    <t>https://www.capital.ro/restrictii-de-circulatie-de-paste-in-romania-se-aplica-si-pe-autostrada-soarelui-lista-zonelor-si-vehiculelor-vizate-de-cnair.html</t>
  </si>
  <si>
    <t>Programul exact se anunță pentru fiecare sărbătoare; tiparul de mai sus e din comunicatele CNAIR pentru Paște 2026 (capital.ro) și Rusalii 2026 (wall-street.ro, 28.05.2026; adevarul.ro). Textul ordinului 1249-132/2018 nu a fost citit.</t>
  </si>
  <si>
    <t>Restricții de sărbători: DN7 Pitești-Râmnicu Vâlcea-Veștem</t>
  </si>
  <si>
    <t>Pe perioade anunțate de CNAIR la sărbători (ex. Paște 09-13.04.2026, Rusalii 30.05-01.06.2026): în prima zi/zilele de început 18:00-22:00, în zilele de vârf 06:00-22:00</t>
  </si>
  <si>
    <t>Restricții de sărbători: DN39 Agigea-Mangalia</t>
  </si>
  <si>
    <t>Restricții de weekend pe perioada estivală (A2, DN39, DN22C)</t>
  </si>
  <si>
    <t>MTMA &gt; 7,5 t (în 2017 pe A2: &gt; 3,5 t)</t>
  </si>
  <si>
    <t>Istoric 2019: 01.07-31.08, vineri-duminică 06:00-22:00 (DN22C doar duminică)</t>
  </si>
  <si>
    <t>Ordinul MT-MAI nr. 1249-132/2018 (citat pentru 2019)</t>
  </si>
  <si>
    <t>2019-07-01</t>
  </si>
  <si>
    <t>https://profit.ro/povesti-cu-profit/auto-transporturi/restrictii-de-circulatie-pentru-masinile-mai-mari-de-7-5-tone-in-iulie-si-august-pe-autostrada-soarelui-si-pe-doua-drumuri-nationale-19048086</t>
  </si>
  <si>
    <t>Aplicarea în vara 2026 NU a fost confirmată. Orarele au variat de la an la an (2017, 2019, 2023 diferite). Există un comunicat CNAIR 'Restricții de circulație (7,5 t) în week-end pe A2, DN 7, DN 39 și DN 22C' pe cnadnr.ro, inaccesibil (robots), dată necunoscută.</t>
  </si>
  <si>
    <t>Taxe separate pe autostrăzi (A0, A1, A3 etc.)</t>
  </si>
  <si>
    <t>Autostrăzile și drumurile expres intră în TollRo cu tarif aproximativ dublu față de DN (vezi înregistrările TollRo).</t>
  </si>
  <si>
    <t>Legea 226/2023</t>
  </si>
  <si>
    <t>consultat 2026-10-10</t>
  </si>
  <si>
    <t>https://www.etoll.ro</t>
  </si>
  <si>
    <t>Nu am găsit nicio taxă de autostradă separată (concesiune/peaj de secțiune) în vigoare în 2026. FAQ etoll.ro: TollRo acoperă DN, drumuri expres și autostrăzi CNAIR. Căutarea a fost limitată (buget de căutare epuizat), deci absența nu e garantată.</t>
  </si>
  <si>
    <t>Prioritate</t>
  </si>
  <si>
    <t>Ce lipsește</t>
  </si>
  <si>
    <t>Răspuns primit (de completat)</t>
  </si>
  <si>
    <t>Data apelului</t>
  </si>
  <si>
    <t>Nimic găsit online. Întrebați dacă există taxă de acces pentru camioane și de la ce tonaj.</t>
  </si>
  <si>
    <t>Legendă: prioritatea 1 = hub-uri logistice din Ilfov și București, 2 = restul Ilfov și orașele fără sume, 3 = sume găsite din surse secundare, de confirmat. Coloana galbenă se completează după apel.</t>
  </si>
  <si>
    <t>Ce întrebați la primărie sau la poliția locală</t>
  </si>
  <si>
    <t>Există o taxă sau o autorizație de acces pentru camioane pe raza localității? De la ce masă totală maximă autorizată (3,5 t, 5 t, 7,5 t, 12 t)?</t>
  </si>
  <si>
    <t>Care este numărul și anul HCL-ului în vigoare? Ne puteți trimite actul sau linkul pe email?</t>
  </si>
  <si>
    <t>Se aplică pe toată localitatea sau doar pe anumite străzi sau zone? Există o listă de străzi sau o hartă?</t>
  </si>
  <si>
    <t>Care sunt tarifele pe zi, săptămână, lună și an, pe fiecare clasă de tonaj? Diferă pentru firmele din localitate?</t>
  </si>
  <si>
    <t>Există restricții orare sau zile în care camioanele nu au voie?</t>
  </si>
  <si>
    <t>Cum se obține autorizația: online (ce link), la ghișeu, prin SMS sau prin ghiseul.ro? În cât timp se emite?</t>
  </si>
  <si>
    <t>Cum se plătește (card, OP, ghiseul.ro) și ce documente trebuie trimise?</t>
  </si>
  <si>
    <t>Se schimbă ceva din 2027? Există un proiect de HCL în dezbatere?</t>
  </si>
  <si>
    <t>Cine este persoana de contact sau adresa de email pentru întrebări despre autorizații?</t>
  </si>
  <si>
    <t>Notați răspunsurile în foaia „De sunat”, coloana galbenă, și cereți actul pe email ca să puteți adăuga sursa.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</si>
</sst>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7" x14ac:knownFonts="1">
    <font>
      <color theme="1"/>
      <family val="2"/>
      <scheme val="minor"/>
      <sz val="11"/>
      <name val="Calibri"/>
    </font>
    <font>
      <b/>
      <charset val="1"/>
      <sz val="14"/>
      <name val="Arial"/>
    </font>
    <font>
      <charset val="1"/>
      <sz val="10"/>
      <name val="Arial"/>
    </font>
    <font>
      <b/>
      <charset val="1"/>
      <color rgb="FFFFFFFF"/>
      <sz val="10"/>
      <name val="Arial"/>
    </font>
    <font>
      <b/>
      <charset val="1"/>
      <sz val="10"/>
      <name val="Arial"/>
    </font>
    <font>
      <u/>
      <charset val="1"/>
      <color rgb="FF0563C1"/>
      <sz val="10"/>
      <name val="Arial"/>
    </font>
    <font>
      <i/>
      <charset val="1"/>
      <sz val="10"/>
      <name val="Arial"/>
    </font>
  </fonts>
  <fills count="15">
    <fill>
      <patternFill patternType="none"/>
    </fill>
    <fill>
      <patternFill patternType="gray125"/>
    </fill>
    <fill>
      <patternFill patternType="solid">
        <fgColor rgb="FF1F3A5F"/>
        <bgColor rgb="FF333333"/>
      </patternFill>
    </fill>
    <fill>
      <patternFill patternType="solid">
        <fgColor rgb="FFD9F2E3"/>
        <bgColor rgb="FFEEEEEE"/>
      </patternFill>
    </fill>
    <fill>
      <patternFill patternType="solid">
        <fgColor rgb="FFFFF4CC"/>
        <bgColor rgb="FFFFE5CC"/>
      </patternFill>
    </fill>
    <fill>
      <patternFill patternType="solid">
        <fgColor rgb="FFFFE5CC"/>
        <bgColor rgb="FFFCE4D6"/>
      </patternFill>
    </fill>
    <fill>
      <patternFill patternType="solid">
        <fgColor rgb="FFFCE4D6"/>
        <bgColor rgb="FFFFE5CC"/>
      </patternFill>
    </fill>
    <fill>
      <patternFill patternType="solid">
        <fgColor rgb="FFEEEEEE"/>
        <bgColor rgb="FFD9F2E3"/>
      </patternFill>
    </fill>
    <fill>
      <patternFill patternType="solid">
        <fgColor rgb="FF1F3A5F"/>
      </patternFill>
    </fill>
    <fill>
      <patternFill patternType="solid">
        <fgColor rgb="FFE8EEF5"/>
      </patternFill>
    </fill>
    <fill>
      <patternFill patternType="solid">
        <fgColor rgb="FFEEEEEE"/>
      </patternFill>
    </fill>
    <fill>
      <patternFill patternType="solid">
        <fgColor rgb="FFFFF4CC"/>
      </patternFill>
    </fill>
    <fill>
      <patternFill patternType="solid">
        <fgColor rgb="FFD9F2E3"/>
      </patternFill>
    </fill>
    <fill>
      <patternFill patternType="solid">
        <fgColor rgb="FFFFE5CC"/>
      </patternFill>
    </fill>
    <fill>
      <patternFill patternType="solid">
        <fgColor rgb="FFFFFF00"/>
        <bgColor rgb="FFFFFF00"/>
      </patternFill>
    </fill>
  </fills>
  <borders count="3">
    <border>
      <left/>
      <right/>
      <top/>
      <bottom/>
      <diagonal/>
    </border>
    <border>
      <left style="thin">
        <color rgb="FFD0D7DE"/>
      </left>
      <right style="thin">
        <color rgb="FFD0D7DE"/>
      </right>
      <top style="thin">
        <color rgb="FFD0D7DE"/>
      </top>
      <bottom style="thin">
        <color rgb="FFD0D7DE"/>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30">
    <xf numFmtId="0" fontId="0" fillId="0" borderId="0" xfId="0"/>
    <xf numFmtId="0" fontId="1" fillId="0" borderId="0" xfId="0" applyFont="1" applyAlignment="1">
      <alignment vertical="bottom"/>
    </xf>
    <xf numFmtId="0" fontId="2" fillId="0" borderId="0" xfId="0" applyFont="1" applyAlignment="1">
      <alignment vertical="bottom"/>
    </xf>
    <xf numFmtId="0" fontId="3" fillId="2" borderId="1" xfId="0" applyFont="1" applyFill="1" applyBorder="1" applyAlignment="1">
      <alignment vertical="center" wrapText="1"/>
    </xf>
    <xf numFmtId="0" fontId="2" fillId="3" borderId="1" xfId="0" applyFont="1" applyFill="1" applyBorder="1" applyAlignment="1">
      <alignment vertical="bottom"/>
    </xf>
    <xf numFmtId="0" fontId="2" fillId="0" borderId="1" xfId="0" applyFont="1" applyBorder="1" applyAlignment="1">
      <alignment vertical="bottom"/>
    </xf>
    <xf numFmtId="0" fontId="2" fillId="0" borderId="1" xfId="0" applyFont="1" applyBorder="1" applyAlignment="1">
      <alignment vertical="top" wrapText="1"/>
    </xf>
    <xf numFmtId="0" fontId="2" fillId="4" borderId="1" xfId="0" applyFont="1" applyFill="1" applyBorder="1" applyAlignment="1">
      <alignment vertical="bottom"/>
    </xf>
    <xf numFmtId="0" fontId="2" fillId="5" borderId="1" xfId="0" applyFont="1" applyFill="1" applyBorder="1" applyAlignment="1">
      <alignment vertical="bottom"/>
    </xf>
    <xf numFmtId="0" fontId="2" fillId="6" borderId="1" xfId="0" applyFont="1" applyFill="1" applyBorder="1" applyAlignment="1">
      <alignment vertical="bottom"/>
    </xf>
    <xf numFmtId="0" fontId="2" fillId="7" borderId="1" xfId="0" applyFont="1" applyFill="1" applyBorder="1" applyAlignment="1">
      <alignment vertical="bottom"/>
    </xf>
    <xf numFmtId="0" fontId="4" fillId="0" borderId="0" xfId="0" applyFont="1" applyAlignment="1">
      <alignment vertical="bottom"/>
    </xf>
    <xf numFmtId="0" fontId="2" fillId="0" borderId="0" xfId="0" applyFont="1" applyAlignment="1">
      <alignment vertical="top" wrapText="1"/>
    </xf>
    <xf numFmtId="0" fontId="3" fillId="8" borderId="2" xfId="0" applyFont="1" applyFill="1" applyBorder="1" applyAlignment="1">
      <alignment vertical="center" wrapText="1"/>
    </xf>
    <xf numFmtId="0" fontId="4" fillId="9" borderId="2" xfId="0" applyFont="1" applyFill="1" applyBorder="1" applyAlignment="1">
      <alignment vertical="top" wrapText="1"/>
    </xf>
    <xf numFmtId="0" fontId="2" fillId="10" borderId="2" xfId="0" applyFont="1" applyFill="1" applyBorder="1" applyAlignment="1">
      <alignment vertical="top" wrapText="1"/>
    </xf>
    <xf numFmtId="0" fontId="2" fillId="0" borderId="2" xfId="0" applyFont="1" applyBorder="1" applyAlignment="1">
      <alignment vertical="top" wrapText="1"/>
    </xf>
    <xf numFmtId="0" fontId="2" fillId="11" borderId="2" xfId="0" applyFont="1" applyFill="1" applyBorder="1" applyAlignment="1">
      <alignment vertical="top" wrapText="1"/>
    </xf>
    <xf numFmtId="0" fontId="2" fillId="12" borderId="2" xfId="0" applyFont="1" applyFill="1" applyBorder="1" applyAlignment="1">
      <alignment vertical="top" wrapText="1"/>
    </xf>
    <xf numFmtId="0" fontId="2" fillId="13" borderId="2" xfId="0" applyFont="1" applyFill="1" applyBorder="1" applyAlignment="1">
      <alignment vertical="top" wrapText="1"/>
    </xf>
    <xf numFmtId="0" fontId="2" fillId="0" borderId="1" xfId="0" applyFont="1" applyBorder="1" applyAlignment="1">
      <alignment vertical="top"/>
    </xf>
    <xf numFmtId="0" fontId="2" fillId="3" borderId="1" xfId="0" applyFont="1" applyFill="1" applyBorder="1" applyAlignment="1">
      <alignment vertical="top"/>
    </xf>
    <xf numFmtId="0" fontId="5" fillId="0" borderId="1" xfId="0" applyFont="1" applyBorder="1" applyAlignment="1">
      <alignment vertical="top"/>
    </xf>
    <xf numFmtId="0" fontId="2" fillId="7" borderId="1" xfId="0" applyFont="1" applyFill="1" applyBorder="1" applyAlignment="1">
      <alignment vertical="top"/>
    </xf>
    <xf numFmtId="0" fontId="2" fillId="4" borderId="1" xfId="0" applyFont="1" applyFill="1" applyBorder="1" applyAlignment="1">
      <alignment vertical="top"/>
    </xf>
    <xf numFmtId="0" fontId="2" fillId="6" borderId="1" xfId="0" applyFont="1" applyFill="1" applyBorder="1" applyAlignment="1">
      <alignment vertical="top"/>
    </xf>
    <xf numFmtId="0" fontId="2" fillId="5" borderId="1" xfId="0" applyFont="1" applyFill="1" applyBorder="1" applyAlignment="1">
      <alignment vertical="top"/>
    </xf>
    <xf numFmtId="164" fontId="2" fillId="0" borderId="1" xfId="0" applyNumberFormat="1" applyFont="1" applyBorder="1" applyAlignment="1">
      <alignment vertical="top"/>
    </xf>
    <xf numFmtId="0" fontId="2" fillId="14" borderId="1" xfId="0" applyFont="1" applyFill="1" applyBorder="1" applyAlignment="1">
      <alignment vertical="top" wrapText="1"/>
    </xf>
    <xf numFmtId="0" fontId="6" fillId="0" borderId="0" xfId="0" applyFont="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7.xml"/><Relationship Id="rId6" Type="http://schemas.openxmlformats.org/officeDocument/2006/relationships/worksheet" Target="worksheets/sheet8.xml"/><Relationship Id="rId7" Type="http://schemas.openxmlformats.org/officeDocument/2006/relationships/worksheet" Target="worksheets/sheet2.xml"/><Relationship Id="rId8" Type="http://schemas.openxmlformats.org/officeDocument/2006/relationships/worksheet" Target="worksheets/sheet3.xml"/><Relationship Id="rId9" Type="http://schemas.openxmlformats.org/officeDocument/2006/relationships/worksheet" Target="worksheets/sheet4.xml"/><Relationship Id="rId10" Type="http://schemas.openxmlformats.org/officeDocument/2006/relationships/worksheet" Target="worksheets/sheet5.xml"/><Relationship Id="rId11"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standalone="yes"?>
<Relationships xmlns="http://schemas.openxmlformats.org/package/2006/relationships"><Relationship Id="rId1" Type="http://schemas.openxmlformats.org/officeDocument/2006/relationships/hyperlink" Target="https://doc.pmb.ro/legis/acteinterne/2025/47690/anexah514_25.pdf" TargetMode="External"/><Relationship Id="rId2" Type="http://schemas.openxmlformats.org/officeDocument/2006/relationships/hyperlink" Target="https://primaria1decembrie.ro/wp-content/uploads/2026/01/HCL-49-din-30.12.2025.pdf" TargetMode="External"/><Relationship Id="rId3" Type="http://schemas.openxmlformats.org/officeDocument/2006/relationships/hyperlink" Target="https://www.primariaafumati.ro/fisiere/pdf/taxe/hcl_taxe2026.pdf" TargetMode="External"/><Relationship Id="rId4" Type="http://schemas.openxmlformats.org/officeDocument/2006/relationships/hyperlink" Target="https://www.ghiseul.ro/ghiseul/public/institutii/detalii?id_inst=4947" TargetMode="External"/><Relationship Id="rId5" Type="http://schemas.openxmlformats.org/officeDocument/2006/relationships/hyperlink" Target="https://www.primariaberceni.ro/wp-content/uploads/2026/08/2.-PH-Taxa-speciala-anonimizat.pdf" TargetMode="External"/><Relationship Id="rId6" Type="http://schemas.openxmlformats.org/officeDocument/2006/relationships/hyperlink" Target="https://www.primariaorasbragadiru.ro/index.php/mol/hotararile-autoritatii-deliberative" TargetMode="External"/><Relationship Id="rId7" Type="http://schemas.openxmlformats.org/officeDocument/2006/relationships/hyperlink" Target="https://www.primaria-branesti.ro/index.php/anunturi-importante/410-accesul-autovehiculelor-grele-in-comuna-branesti-judetul-ilfov" TargetMode="External"/><Relationship Id="rId8" Type="http://schemas.openxmlformats.org/officeDocument/2006/relationships/hyperlink" Target="https://www.primariabuftea.ro/wp-content/uploads/2026/01/1851.pdf" TargetMode="External"/><Relationship Id="rId9" Type="http://schemas.openxmlformats.org/officeDocument/2006/relationships/hyperlink" Target="https://www.ghiseul.ro/ghiseul/public/institutii/detalii?id_inst=14688" TargetMode="External"/><Relationship Id="rId10" Type="http://schemas.openxmlformats.org/officeDocument/2006/relationships/hyperlink" Target="https://emol.ro/pluginfile.php/1/local_emol/documenthcl/86674/ANEXA%20HCL%2089%20din%202025.pdf" TargetMode="External"/><Relationship Id="rId11" Type="http://schemas.openxmlformats.org/officeDocument/2006/relationships/hyperlink" Target="https://primariachitila.ro/new/wp-content/uploads/2025/11/Anunt-consultare-publica-la-proiectul-de-Hotarare-referitor-la-stabilirea-nivelurilor-impozitelor-si-taxelor-locale-pentru-anul-2026.pdf" TargetMode="External"/><Relationship Id="rId12" Type="http://schemas.openxmlformats.org/officeDocument/2006/relationships/hyperlink" Target="https://primariaciolpani.ro/" TargetMode="External"/><Relationship Id="rId13" Type="http://schemas.openxmlformats.org/officeDocument/2006/relationships/hyperlink" Target="https://primariaciorogarla.ro/impozite-si-taxe-locale/" TargetMode="External"/><Relationship Id="rId14" Type="http://schemas.openxmlformats.org/officeDocument/2006/relationships/hyperlink" Target="https://primaria-clinceni.ro/formulare/" TargetMode="External"/><Relationship Id="rId15" Type="http://schemas.openxmlformats.org/officeDocument/2006/relationships/hyperlink" Target="https://pcc.ro/acte/Taxa_masini_grele.pdf" TargetMode="External"/><Relationship Id="rId16" Type="http://schemas.openxmlformats.org/officeDocument/2006/relationships/hyperlink" Target="https://www.primariacornetu.ro/informatii-de-interes-public/formulare-tip/impozite-si-taxe-locale/" TargetMode="External"/><Relationship Id="rId17" Type="http://schemas.openxmlformats.org/officeDocument/2006/relationships/hyperlink" Target="https://www.ghiseul.ro/ghiseul/public/institutii/detalii?id_inst=4147" TargetMode="External"/><Relationship Id="rId18" Type="http://schemas.openxmlformats.org/officeDocument/2006/relationships/hyperlink" Target="https://primariadomnesti.ro/wp-content/uploads/2026/02/HCL-6.pdf" TargetMode="External"/><Relationship Id="rId19" Type="http://schemas.openxmlformats.org/officeDocument/2006/relationships/hyperlink" Target="https://primariadragomirestivale.ro/wp-content/uploads/2026/01/HCL-56-din-30.12.2025.pdf" TargetMode="External"/><Relationship Id="rId20" Type="http://schemas.openxmlformats.org/officeDocument/2006/relationships/hyperlink" Target="https://comunadarastiilfov.ro/categorie-document/taxe-si-impozite-locale/" TargetMode="External"/><Relationship Id="rId21" Type="http://schemas.openxmlformats.org/officeDocument/2006/relationships/hyperlink" Target="https://primaria-glina.ro/hcl/hotarari-ale-consiliului-local-2025" TargetMode="External"/><Relationship Id="rId22" Type="http://schemas.openxmlformats.org/officeDocument/2006/relationships/hyperlink" Target="https://monitor.primariagruiu.ro/" TargetMode="External"/><Relationship Id="rId23" Type="http://schemas.openxmlformats.org/officeDocument/2006/relationships/hyperlink" Target="https://primariajilava.ro/autorizatii-transport-75-tone-si-35-tone/" TargetMode="External"/><Relationship Id="rId24" Type="http://schemas.openxmlformats.org/officeDocument/2006/relationships/hyperlink" Target="https://primaria.mogosoaia.ro/" TargetMode="External"/><Relationship Id="rId25" Type="http://schemas.openxmlformats.org/officeDocument/2006/relationships/hyperlink" Target="https://primariamagurele.ro/cereri-si-formulare" TargetMode="External"/><Relationship Id="rId26" Type="http://schemas.openxmlformats.org/officeDocument/2006/relationships/hyperlink" Target="https://www.otopeniro.ro/taxe-si-impozite-48" TargetMode="External"/><Relationship Id="rId27" Type="http://schemas.openxmlformats.org/officeDocument/2006/relationships/hyperlink" Target="https://www.ghiseul.ro/ghiseul/public/institutii/detalii?id_inst=3447" TargetMode="External"/><Relationship Id="rId28" Type="http://schemas.openxmlformats.org/officeDocument/2006/relationships/hyperlink" Target="https://v2.primaria-tunari.ro/" TargetMode="External"/><Relationship Id="rId29" Type="http://schemas.openxmlformats.org/officeDocument/2006/relationships/hyperlink" Target="https://primaria-vidra.ro/wp-content/uploads/2026/01/ANEXA-IMPOZITE-SI-TAXE-PT.ANUL-2022-VIDRA-mod.cu-directiva-27-noi-2025-conv.pdf" TargetMode="External"/><Relationship Id="rId30" Type="http://schemas.openxmlformats.org/officeDocument/2006/relationships/hyperlink" Target="https://www.politialocalavoluntari.ro/uploads/article/description/tabel_taxe_autovehicule_grele.pdf" TargetMode="External"/><Relationship Id="rId31" Type="http://schemas.openxmlformats.org/officeDocument/2006/relationships/hyperlink" Target="https://emol.ro/stefanestiidejos-if/HAD/" TargetMode="External"/><Relationship Id="rId32" Type="http://schemas.openxmlformats.org/officeDocument/2006/relationships/hyperlink" Target="https://www.bursatransport.com/info/access/viewarticle/slug/taxe-acces-alba-iulia" TargetMode="External"/><Relationship Id="rId33" Type="http://schemas.openxmlformats.org/officeDocument/2006/relationships/hyperlink" Target="https://www.primariaarad.ro/dm_arad/portal.nsf/B0DA7398D8C2C24CC22588FB002A93A9/$FILE/tarife%20trafic%20greu.pdf?Open" TargetMode="External"/><Relationship Id="rId34" Type="http://schemas.openxmlformats.org/officeDocument/2006/relationships/hyperlink" Target="https://www.primariapitesti.ro/compartimentul-tehnic-transport-local-si-protectia-mediului-p489" TargetMode="External"/><Relationship Id="rId35" Type="http://schemas.openxmlformats.org/officeDocument/2006/relationships/hyperlink" Target="https://taxe.municipiulbacau.ro/calcul-taxe-locale-2026/" TargetMode="External"/><Relationship Id="rId36" Type="http://schemas.openxmlformats.org/officeDocument/2006/relationships/hyperlink" Target="https://oradea.ro/wp-content/uploads/2026/02/HCL-854_25.pdf" TargetMode="External"/><Relationship Id="rId37" Type="http://schemas.openxmlformats.org/officeDocument/2006/relationships/hyperlink" Target="https://www.bursatransport.com/info/access/viewarticle/slug/taxe-acces-bistrita" TargetMode="External"/><Relationship Id="rId38" Type="http://schemas.openxmlformats.org/officeDocument/2006/relationships/hyperlink" Target="https://primariabt.ro/wp-content/uploads/formidable/9/602_25.pdf" TargetMode="External"/><Relationship Id="rId39" Type="http://schemas.openxmlformats.org/officeDocument/2006/relationships/hyperlink" Target="https://serviciielectronice.brasovcity.ro/cmsSE/media/documente_pdf/TAXE%20LT_2025.pdf" TargetMode="External"/><Relationship Id="rId40" Type="http://schemas.openxmlformats.org/officeDocument/2006/relationships/hyperlink" Target="https://www.primariabraila.ro/wp-content/uploads/2018/taxe" TargetMode="External"/><Relationship Id="rId41" Type="http://schemas.openxmlformats.org/officeDocument/2006/relationships/hyperlink" Target="https://www.bursatransport.com/info/access/viewarticle/slug/taxe-acces-buzau" TargetMode="External"/><Relationship Id="rId42" Type="http://schemas.openxmlformats.org/officeDocument/2006/relationships/hyperlink" Target="https://se.primariaresita.ro/cmsSE/acte-necesare-primaria-resita/autorizatie-liber-acces" TargetMode="External"/><Relationship Id="rId43" Type="http://schemas.openxmlformats.org/officeDocument/2006/relationships/hyperlink" Target="https://actualdecluj.ro/interdictia-de-a-circula-prin-cluj-napoca-pentru-traficul-greu-de-trazit-intra-in-vigoare-la-finalul-saptamanii-explicatiile-primarului-emil-boc/" TargetMode="External"/><Relationship Id="rId44" Type="http://schemas.openxmlformats.org/officeDocument/2006/relationships/hyperlink" Target="https://www.spit-ct.ro/obligatii-fiscale-persoane-juridice/" TargetMode="External"/><Relationship Id="rId45" Type="http://schemas.openxmlformats.org/officeDocument/2006/relationships/hyperlink" Target="https://sfantugheorgheinfo.ro/uploads/hcl-416-anexa-1760604306.pdf" TargetMode="External"/><Relationship Id="rId46" Type="http://schemas.openxmlformats.org/officeDocument/2006/relationships/hyperlink" Target="https://primariacalarasi.ro/directiile-primariei/transport-public-local/" TargetMode="External"/><Relationship Id="rId47" Type="http://schemas.openxmlformats.org/officeDocument/2006/relationships/hyperlink" Target="https://www.primariacraiova.ro/ro/info/695f66f69d9cc811193031.pdf" TargetMode="External"/><Relationship Id="rId48" Type="http://schemas.openxmlformats.org/officeDocument/2006/relationships/hyperlink" Target="https://www.pmtgv.ro/DAPPP/2025/INFORMARE%20%20PRIVIND%20TRANZITUL%20PRIN%20MUN%20TARGOVISTE%20SI%20TAXE%20LIBERA%20TRECERE%20PE%20ANUL%202025%20.pdf" TargetMode="External"/><Relationship Id="rId49" Type="http://schemas.openxmlformats.org/officeDocument/2006/relationships/hyperlink" Target="https://www.primariagalati.ro/portal/act/reg_auto2014.pdf" TargetMode="External"/><Relationship Id="rId50" Type="http://schemas.openxmlformats.org/officeDocument/2006/relationships/hyperlink" Target="https://primariagiurgiu.ro/2017/05/taxa-speciala-de-libera-trecere-pentru-autovehiculele-cu-masa-mai-mare-de-75-tone-obligatorie-de-la-1-iunie/" TargetMode="External"/><Relationship Id="rId51" Type="http://schemas.openxmlformats.org/officeDocument/2006/relationships/hyperlink" Target="https://www.targujiu.ro/" TargetMode="External"/><Relationship Id="rId52" Type="http://schemas.openxmlformats.org/officeDocument/2006/relationships/hyperlink" Target="https://miercureaciuc.ro/ro/hotarari/2006/hotararea-nr-49/160" TargetMode="External"/><Relationship Id="rId53" Type="http://schemas.openxmlformats.org/officeDocument/2006/relationships/hyperlink" Target="https://autorizatii-tonaj.primariadeva.ro/" TargetMode="External"/><Relationship Id="rId54" Type="http://schemas.openxmlformats.org/officeDocument/2006/relationships/hyperlink" Target="https://www.sloboziail.ro/" TargetMode="External"/><Relationship Id="rId55" Type="http://schemas.openxmlformats.org/officeDocument/2006/relationships/hyperlink" Target="https://www.bzi.ro/transportatorii-de-marfuri-au-intrat-in-atentia-politistilor-s-au-facut-verificari-pe-mai-multe-strazi-din-oras-5326261" TargetMode="External"/><Relationship Id="rId56" Type="http://schemas.openxmlformats.org/officeDocument/2006/relationships/hyperlink" Target="https://www.bursatransport.com/info/access/viewarticle/slug/taxe-acces-baia-mare" TargetMode="External"/><Relationship Id="rId57" Type="http://schemas.openxmlformats.org/officeDocument/2006/relationships/hyperlink" Target="https://www.bursatransport.com/info/access/viewarticle/slug/taxe-acces-drobeta-turnu-severin" TargetMode="External"/><Relationship Id="rId58" Type="http://schemas.openxmlformats.org/officeDocument/2006/relationships/hyperlink" Target="https://adptgmures.ro/" TargetMode="External"/><Relationship Id="rId59" Type="http://schemas.openxmlformats.org/officeDocument/2006/relationships/hyperlink" Target="https://www.bursatransport.com/info/access/viewarticle/slug/taxe-acces-piatra-neamt" TargetMode="External"/><Relationship Id="rId60" Type="http://schemas.openxmlformats.org/officeDocument/2006/relationships/hyperlink" Target="http://www.primariaslatina.ro/" TargetMode="External"/><Relationship Id="rId61" Type="http://schemas.openxmlformats.org/officeDocument/2006/relationships/hyperlink" Target="https://ploiesti.ro/hotarari/hcl-131-2011/" TargetMode="External"/><Relationship Id="rId62" Type="http://schemas.openxmlformats.org/officeDocument/2006/relationships/hyperlink" Target="https://tir.primariasm.ro/assets/frontend/pdf/Regulament.pdf" TargetMode="External"/><Relationship Id="rId63" Type="http://schemas.openxmlformats.org/officeDocument/2006/relationships/hyperlink" Target="https://www.primariasv.ro/dm_suceava/site.nsf/pagini/suceava+transport-0000A596" TargetMode="External"/><Relationship Id="rId64" Type="http://schemas.openxmlformats.org/officeDocument/2006/relationships/hyperlink" Target="https://www.zalausj.ro/ro/monitor/transparenta/reg_circ_vehicule.pdf" TargetMode="External"/><Relationship Id="rId65" Type="http://schemas.openxmlformats.org/officeDocument/2006/relationships/hyperlink" Target="https://alexandria.ro/" TargetMode="External"/><Relationship Id="rId66" Type="http://schemas.openxmlformats.org/officeDocument/2006/relationships/hyperlink" Target="https://agerpres.ro/comunicate/2026/08/04/comunicat-de-presa---politia-locala-timisoara--1581984" TargetMode="External"/><Relationship Id="rId67" Type="http://schemas.openxmlformats.org/officeDocument/2006/relationships/hyperlink" Target="https://www.primariatulcea.ro/noutati/liberatrecere/" TargetMode="External"/><Relationship Id="rId68" Type="http://schemas.openxmlformats.org/officeDocument/2006/relationships/hyperlink" Target="https://se.primariavaslui.ro/cmsSE/acte-necesare-primaria-vaslui/permis-de-libera-trecere-stationare-in-vederea-aprovizionarii" TargetMode="External"/><Relationship Id="rId69" Type="http://schemas.openxmlformats.org/officeDocument/2006/relationships/hyperlink" Target="https://www.focsani.info/fisiere/userfiles/proiecte%20act%20noirmativ/HOTARARE_ITL_2026.pdf" TargetMode="External"/><Relationship Id="rId70" Type="http://schemas.openxmlformats.org/officeDocument/2006/relationships/hyperlink" Target="https://www.bursatransport.com/info/access/viewarticle/slug/taxe-acces-ramnicu-valcea"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pmb.ro/legis/acteinterne/2025/47690/anexah514_25.pdf" TargetMode="External"/><Relationship Id="rId2" Type="http://schemas.openxmlformats.org/officeDocument/2006/relationships/hyperlink" Target="https://doc.pmb.ro/legis/acteinterne/2025/47690/anexah514_25.pdf" TargetMode="External"/><Relationship Id="rId3" Type="http://schemas.openxmlformats.org/officeDocument/2006/relationships/hyperlink" Target="https://doc.pmb.ro/legis/acteinterne/2025/47690/anexah514_25.pdf" TargetMode="External"/><Relationship Id="rId4" Type="http://schemas.openxmlformats.org/officeDocument/2006/relationships/hyperlink" Target="https://doc.pmb.ro/legis/acteinterne/2025/47690/anexah514_25.pdf" TargetMode="External"/><Relationship Id="rId5" Type="http://schemas.openxmlformats.org/officeDocument/2006/relationships/hyperlink" Target="https://doc.pmb.ro/legis/acteinterne/2025/47690/anexah514_25.pdf" TargetMode="External"/><Relationship Id="rId6" Type="http://schemas.openxmlformats.org/officeDocument/2006/relationships/hyperlink" Target="https://doc.pmb.ro/legis/acteinterne/2025/47690/anexah514_25.pdf" TargetMode="External"/><Relationship Id="rId7" Type="http://schemas.openxmlformats.org/officeDocument/2006/relationships/hyperlink" Target="https://doc.pmb.ro/legis/acteinterne/2025/47690/anexah514_25.pdf" TargetMode="External"/><Relationship Id="rId8" Type="http://schemas.openxmlformats.org/officeDocument/2006/relationships/hyperlink" Target="https://doc.pmb.ro/legis/acteinterne/2025/47690/anexah514_25.pdf" TargetMode="External"/><Relationship Id="rId9" Type="http://schemas.openxmlformats.org/officeDocument/2006/relationships/hyperlink" Target="https://doc.pmb.ro/legis/acteinterne/2025/47690/anexah514_25.pdf" TargetMode="External"/><Relationship Id="rId10" Type="http://schemas.openxmlformats.org/officeDocument/2006/relationships/hyperlink" Target="https://doc.pmb.ro/legis/acteinterne/2025/47690/anexah514_25.pdf" TargetMode="External"/><Relationship Id="rId11" Type="http://schemas.openxmlformats.org/officeDocument/2006/relationships/hyperlink" Target="https://doc.pmb.ro/legis/acteinterne/2025/47690/anexah514_25.pdf" TargetMode="External"/><Relationship Id="rId12" Type="http://schemas.openxmlformats.org/officeDocument/2006/relationships/hyperlink" Target="https://doc.pmb.ro/legis/acteinterne/2025/47690/anexah514_25.pdf" TargetMode="External"/><Relationship Id="rId13" Type="http://schemas.openxmlformats.org/officeDocument/2006/relationships/hyperlink" Target="https://doc.pmb.ro/legis/acteinterne/2025/47690/anexah514_25.pdf" TargetMode="External"/><Relationship Id="rId14" Type="http://schemas.openxmlformats.org/officeDocument/2006/relationships/hyperlink" Target="https://doc.pmb.ro/legis/acteinterne/2025/47690/anexah514_25.pdf" TargetMode="External"/><Relationship Id="rId15" Type="http://schemas.openxmlformats.org/officeDocument/2006/relationships/hyperlink" Target="https://doc.pmb.ro/legis/acteinterne/2025/47690/anexah514_25.pdf" TargetMode="External"/><Relationship Id="rId16" Type="http://schemas.openxmlformats.org/officeDocument/2006/relationships/hyperlink" Target="https://doc.pmb.ro/legis/acteinterne/2025/47690/anexah514_25.pdf" TargetMode="External"/><Relationship Id="rId17" Type="http://schemas.openxmlformats.org/officeDocument/2006/relationships/hyperlink" Target="https://doc.pmb.ro/legis/acteinterne/2025/47690/anexah514_25.pdf" TargetMode="External"/><Relationship Id="rId18" Type="http://schemas.openxmlformats.org/officeDocument/2006/relationships/hyperlink" Target="https://doc.pmb.ro/legis/acteinterne/2025/47690/anexah514_25.pdf" TargetMode="External"/><Relationship Id="rId19" Type="http://schemas.openxmlformats.org/officeDocument/2006/relationships/hyperlink" Target="https://doc.pmb.ro/legis/acteinterne/2025/47690/anexah514_25.pdf" TargetMode="External"/><Relationship Id="rId20" Type="http://schemas.openxmlformats.org/officeDocument/2006/relationships/hyperlink" Target="https://doc.pmb.ro/legis/acteinterne/2025/47690/anexah514_25.pdf" TargetMode="External"/><Relationship Id="rId21" Type="http://schemas.openxmlformats.org/officeDocument/2006/relationships/hyperlink" Target="https://doc.pmb.ro/legis/acteinterne/2025/47690/anexah514_25.pdf" TargetMode="External"/><Relationship Id="rId22" Type="http://schemas.openxmlformats.org/officeDocument/2006/relationships/hyperlink" Target="https://doc.pmb.ro/legis/acteinterne/2025/47690/anexah514_25.pdf" TargetMode="External"/><Relationship Id="rId23" Type="http://schemas.openxmlformats.org/officeDocument/2006/relationships/hyperlink" Target="https://doc.pmb.ro/legis/acteinterne/2025/47690/anexah514_25.pdf" TargetMode="External"/><Relationship Id="rId24" Type="http://schemas.openxmlformats.org/officeDocument/2006/relationships/hyperlink" Target="https://doc.pmb.ro/legis/acteinterne/2025/47690/anexah514_25.pdf" TargetMode="External"/><Relationship Id="rId25" Type="http://schemas.openxmlformats.org/officeDocument/2006/relationships/hyperlink" Target="https://doc.pmb.ro/legis/acteinterne/2004/13019/h0134_04.pdf" TargetMode="External"/><Relationship Id="rId26" Type="http://schemas.openxmlformats.org/officeDocument/2006/relationships/hyperlink" Target="https://doc.pmb.ro/legis/acteinterne/2004/13019/h0134_04.pdf" TargetMode="External"/><Relationship Id="rId27" Type="http://schemas.openxmlformats.org/officeDocument/2006/relationships/hyperlink" Target="https://doc.pmb.ro/consiliu/dezbatere/1737/v2_ph_1737_circulatie_auto_grele.pdf" TargetMode="External"/><Relationship Id="rId28" Type="http://schemas.openxmlformats.org/officeDocument/2006/relationships/hyperlink" Target="https://doc.pmb.ro/consiliu/dezbatere/1737/v2_ph_1737_circulatie_auto_grele.pdf" TargetMode="External"/><Relationship Id="rId29" Type="http://schemas.openxmlformats.org/officeDocument/2006/relationships/hyperlink" Target="https://doc.pmb.ro/consiliu/dezbatere/1737/v2_ph_1737_circulatie_auto_grele.pdf" TargetMode="External"/><Relationship Id="rId30" Type="http://schemas.openxmlformats.org/officeDocument/2006/relationships/hyperlink" Target="https://doc.pmb.ro/consiliu/dezbatere/1737/v2_ph_1737_circulatie_auto_grele.pdf" TargetMode="External"/><Relationship Id="rId31" Type="http://schemas.openxmlformats.org/officeDocument/2006/relationships/hyperlink" Target="https://doc.pmb.ro/consiliu/dezbatere/1737/v2_ph_1737_circulatie_auto_grele.pdf" TargetMode="External"/><Relationship Id="rId32" Type="http://schemas.openxmlformats.org/officeDocument/2006/relationships/hyperlink" Target="https://doc.pmb.ro/consiliu/dezbatere/1737/v2_ph_1737_circulatie_auto_grele.pdf" TargetMode="External"/><Relationship Id="rId33" Type="http://schemas.openxmlformats.org/officeDocument/2006/relationships/hyperlink" Target="https://doc.pmb.ro/consiliu/dezbatere/1737/v2_ph_1737_circulatie_auto_grele.pdf" TargetMode="External"/><Relationship Id="rId34" Type="http://schemas.openxmlformats.org/officeDocument/2006/relationships/hyperlink" Target="https://doc.pmb.ro/consiliu/dezbatere/1737/v2_ph_1737_circulatie_auto_grele.pdf" TargetMode="External"/><Relationship Id="rId35" Type="http://schemas.openxmlformats.org/officeDocument/2006/relationships/hyperlink" Target="https://doc.pmb.ro/consiliu/dezbatere/1737/v2_ph_1737_circulatie_auto_grele.pdf" TargetMode="External"/><Relationship Id="rId36" Type="http://schemas.openxmlformats.org/officeDocument/2006/relationships/hyperlink" Target="https://doc.pmb.ro/consiliu/dezbatere/1737/v2_ph_1737_circulatie_auto_grele.pdf" TargetMode="External"/><Relationship Id="rId37" Type="http://schemas.openxmlformats.org/officeDocument/2006/relationships/hyperlink" Target="https://doc.pmb.ro/consiliu/dezbatere/1737/v2_ph_1737_circulatie_auto_grele.pdf" TargetMode="External"/><Relationship Id="rId38" Type="http://schemas.openxmlformats.org/officeDocument/2006/relationships/hyperlink" Target="https://doc.pmb.ro/consiliu/dezbatere/1737/v2_ph_1737_circulatie_auto_grele.pdf" TargetMode="External"/><Relationship Id="rId39" Type="http://schemas.openxmlformats.org/officeDocument/2006/relationships/hyperlink" Target="https://doc.pmb.ro/consiliu/dezbatere/1737/v2_ph_1737_circulatie_auto_grele.pdf" TargetMode="External"/><Relationship Id="rId40" Type="http://schemas.openxmlformats.org/officeDocument/2006/relationships/hyperlink" Target="https://doc.pmb.ro/consiliu/dezbatere/1737/v2_ph_1737_circulatie_auto_grele.pdf" TargetMode="External"/><Relationship Id="rId41" Type="http://schemas.openxmlformats.org/officeDocument/2006/relationships/hyperlink" Target="https://doc.pmb.ro/consiliu/dezbatere/1737/v2_ph_1737_circulatie_auto_grele.pdf" TargetMode="External"/><Relationship Id="rId42" Type="http://schemas.openxmlformats.org/officeDocument/2006/relationships/hyperlink" Target="https://doc.pmb.ro/consiliu/dezbatere/1737/v2_ph_1737_circulatie_auto_grele.pdf" TargetMode="External"/><Relationship Id="rId43" Type="http://schemas.openxmlformats.org/officeDocument/2006/relationships/hyperlink" Target="https://doc.pmb.ro/consiliu/dezbatere/1737/v2_ph_1737_circulatie_auto_grele.pdf" TargetMode="External"/><Relationship Id="rId44" Type="http://schemas.openxmlformats.org/officeDocument/2006/relationships/hyperlink" Target="https://doc.pmb.ro/consiliu/dezbatere/1737/v2_ph_1737_circulatie_auto_grele.pdf" TargetMode="External"/><Relationship Id="rId45" Type="http://schemas.openxmlformats.org/officeDocument/2006/relationships/hyperlink" Target="https://doc.pmb.ro/consiliu/dezbatere/1737/v2_ph_1737_circulatie_auto_grele.pdf" TargetMode="External"/><Relationship Id="rId46" Type="http://schemas.openxmlformats.org/officeDocument/2006/relationships/hyperlink" Target="https://doc.pmb.ro/consiliu/dezbatere/1737/v2_ph_1737_circulatie_auto_grele.pdf" TargetMode="External"/><Relationship Id="rId47" Type="http://schemas.openxmlformats.org/officeDocument/2006/relationships/hyperlink" Target="https://doc.pmb.ro/consiliu/dezbatere/1737/v2_ph_1737_circulatie_auto_grele.pdf" TargetMode="External"/><Relationship Id="rId48" Type="http://schemas.openxmlformats.org/officeDocument/2006/relationships/hyperlink" Target="https://doc.pmb.ro/consiliu/dezbatere/1737/v2_ph_1737_circulatie_auto_grele.pdf" TargetMode="External"/><Relationship Id="rId49" Type="http://schemas.openxmlformats.org/officeDocument/2006/relationships/hyperlink" Target="https://doc.pmb.ro/consiliu/dezbatere/1737/v2_ph_1737_circulatie_auto_grele.pdf" TargetMode="External"/><Relationship Id="rId50" Type="http://schemas.openxmlformats.org/officeDocument/2006/relationships/hyperlink" Target="https://doc.pmb.ro/consiliu/dezbatere/1737/v2_ph_1737_circulatie_auto_grele.pdf" TargetMode="External"/><Relationship Id="rId51" Type="http://schemas.openxmlformats.org/officeDocument/2006/relationships/hyperlink" Target="https://doc.pmb.ro/consiliu/dezbatere/1737/v2_ph_1737_circulatie_auto_grele.pdf" TargetMode="External"/><Relationship Id="rId52" Type="http://schemas.openxmlformats.org/officeDocument/2006/relationships/hyperlink" Target="https://doc.pmb.ro/consiliu/dezbatere/1737/v2_ph_1737_circulatie_auto_grele.pdf" TargetMode="External"/><Relationship Id="rId53" Type="http://schemas.openxmlformats.org/officeDocument/2006/relationships/hyperlink" Target="https://doc.pmb.ro/consiliu/dezbatere/1737/v2_ph_1737_circulatie_auto_grele.pdf" TargetMode="External"/><Relationship Id="rId54" Type="http://schemas.openxmlformats.org/officeDocument/2006/relationships/hyperlink" Target="https://doc.pmb.ro/consiliu/dezbatere/1737/v2_ph_1737_circulatie_auto_grele.pdf" TargetMode="External"/><Relationship Id="rId55" Type="http://schemas.openxmlformats.org/officeDocument/2006/relationships/hyperlink" Target="https://doc.pmb.ro/consiliu/dezbatere/1737/v2_ph_1737_circulatie_auto_grele.pdf" TargetMode="External"/><Relationship Id="rId56" Type="http://schemas.openxmlformats.org/officeDocument/2006/relationships/hyperlink" Target="https://doc.pmb.ro/consiliu/dezbatere/1737/v2_ph_1737_circulatie_auto_grele.pdf" TargetMode="External"/><Relationship Id="rId57" Type="http://schemas.openxmlformats.org/officeDocument/2006/relationships/hyperlink" Target="https://doc.pmb.ro/consiliu/dezbatere/1737/v2_ph_1737_circulatie_auto_grele.pdf" TargetMode="External"/><Relationship Id="rId58" Type="http://schemas.openxmlformats.org/officeDocument/2006/relationships/hyperlink" Target="https://doc.pmb.ro/consiliu/dezbatere/1737/v2_ph_1737_circulatie_auto_grele.pdf" TargetMode="External"/><Relationship Id="rId59" Type="http://schemas.openxmlformats.org/officeDocument/2006/relationships/hyperlink" Target="https://doc.pmb.ro/consiliu/dezbatere/1737/v2_ph_1737_circulatie_auto_grele.pdf" TargetMode="External"/><Relationship Id="rId60" Type="http://schemas.openxmlformats.org/officeDocument/2006/relationships/hyperlink" Target="https://doc.pmb.ro/consiliu/dezbatere/1737/v2_ph_1737_circulatie_auto_grele.pdf" TargetMode="External"/><Relationship Id="rId61" Type="http://schemas.openxmlformats.org/officeDocument/2006/relationships/hyperlink" Target="https://doc.pmb.ro/consiliu/dezbatere/1737/v2_ph_1737_circulatie_auto_grele.pdf" TargetMode="External"/><Relationship Id="rId62" Type="http://schemas.openxmlformats.org/officeDocument/2006/relationships/hyperlink" Target="https://doc.pmb.ro/consiliu/dezbatere/1737/v2_ph_1737_circulatie_auto_grele.pdf" TargetMode="External"/><Relationship Id="rId63" Type="http://schemas.openxmlformats.org/officeDocument/2006/relationships/hyperlink" Target="https://doc.pmb.ro/consiliu/dezbatere/1737/v2_ph_1737_circulatie_auto_grele.pdf" TargetMode="External"/><Relationship Id="rId64" Type="http://schemas.openxmlformats.org/officeDocument/2006/relationships/hyperlink" Target="https://primaria1decembrie.ro/wp-content/uploads/2026/01/HCL-49-din-30.12.2025.pdf" TargetMode="External"/><Relationship Id="rId65" Type="http://schemas.openxmlformats.org/officeDocument/2006/relationships/hyperlink" Target="https://www.primariaafumati.ro/fisiere/pdf/taxe/hcl_taxe2026.pdf" TargetMode="External"/><Relationship Id="rId66" Type="http://schemas.openxmlformats.org/officeDocument/2006/relationships/hyperlink" Target="https://www.primariaafumati.ro/fisiere/pdf/taxe/hcl_taxe2026.pdf" TargetMode="External"/><Relationship Id="rId67" Type="http://schemas.openxmlformats.org/officeDocument/2006/relationships/hyperlink" Target="https://www.primariaafumati.ro/fisiere/pdf/taxe/hcl_taxe2026.pdf" TargetMode="External"/><Relationship Id="rId68" Type="http://schemas.openxmlformats.org/officeDocument/2006/relationships/hyperlink" Target="https://www.primariaafumati.ro/fisiere/pdf/taxe/hcl_taxe2026.pdf" TargetMode="External"/><Relationship Id="rId69" Type="http://schemas.openxmlformats.org/officeDocument/2006/relationships/hyperlink" Target="https://www.primariaafumati.ro/fisiere/pdf/taxe/hcl_taxe2026.pdf" TargetMode="External"/><Relationship Id="rId70" Type="http://schemas.openxmlformats.org/officeDocument/2006/relationships/hyperlink" Target="https://www.primariaafumati.ro/fisiere/pdf/taxe/hcl_taxe2026.pdf" TargetMode="External"/><Relationship Id="rId71" Type="http://schemas.openxmlformats.org/officeDocument/2006/relationships/hyperlink" Target="https://www.primariaafumati.ro/fisiere/pdf/taxe/hcl_taxe2026.pdf" TargetMode="External"/><Relationship Id="rId72" Type="http://schemas.openxmlformats.org/officeDocument/2006/relationships/hyperlink" Target="https://www.primariaafumati.ro/fisiere/pdf/taxe/hcl_taxe2026.pdf" TargetMode="External"/><Relationship Id="rId73" Type="http://schemas.openxmlformats.org/officeDocument/2006/relationships/hyperlink" Target="https://www.ghiseul.ro/ghiseul/public/institutii/detalii?id_inst=4947" TargetMode="External"/><Relationship Id="rId74" Type="http://schemas.openxmlformats.org/officeDocument/2006/relationships/hyperlink" Target="https://www.primariaberceni.ro/wp-content/uploads/2026/08/2.-PH-Taxa-speciala-anonimizat.pdf" TargetMode="External"/><Relationship Id="rId75" Type="http://schemas.openxmlformats.org/officeDocument/2006/relationships/hyperlink" Target="https://www.primariaorasbragadiru.ro/index.php/mol/hotararile-autoritatii-deliberative" TargetMode="External"/><Relationship Id="rId76" Type="http://schemas.openxmlformats.org/officeDocument/2006/relationships/hyperlink" Target="https://www.primaria-branesti.ro/index.php/anunturi-importante/410-accesul-autovehiculelor-grele-in-comuna-branesti-judetul-ilfov" TargetMode="External"/><Relationship Id="rId77" Type="http://schemas.openxmlformats.org/officeDocument/2006/relationships/hyperlink" Target="https://www.primaria-branesti.ro/index.php/anunturi-importante/410-accesul-autovehiculelor-grele-in-comuna-branesti-judetul-ilfov" TargetMode="External"/><Relationship Id="rId78" Type="http://schemas.openxmlformats.org/officeDocument/2006/relationships/hyperlink" Target="https://www.primaria-branesti.ro/index.php/anunturi-importante/410-accesul-autovehiculelor-grele-in-comuna-branesti-judetul-ilfov" TargetMode="External"/><Relationship Id="rId79" Type="http://schemas.openxmlformats.org/officeDocument/2006/relationships/hyperlink" Target="https://www.primaria-branesti.ro/index.php/anunturi-importante/410-accesul-autovehiculelor-grele-in-comuna-branesti-judetul-ilfov" TargetMode="External"/><Relationship Id="rId80" Type="http://schemas.openxmlformats.org/officeDocument/2006/relationships/hyperlink" Target="https://www.primaria-branesti.ro/index.php/anunturi-importante/410-accesul-autovehiculelor-grele-in-comuna-branesti-judetul-ilfov" TargetMode="External"/><Relationship Id="rId81" Type="http://schemas.openxmlformats.org/officeDocument/2006/relationships/hyperlink" Target="https://www.primaria-branesti.ro/index.php/anunturi-importante/410-accesul-autovehiculelor-grele-in-comuna-branesti-judetul-ilfov" TargetMode="External"/><Relationship Id="rId82" Type="http://schemas.openxmlformats.org/officeDocument/2006/relationships/hyperlink" Target="https://www.primaria-branesti.ro/index.php/anunturi-importante/410-accesul-autovehiculelor-grele-in-comuna-branesti-judetul-ilfov" TargetMode="External"/><Relationship Id="rId83" Type="http://schemas.openxmlformats.org/officeDocument/2006/relationships/hyperlink" Target="https://www.primaria-branesti.ro/index.php/anunturi-importante/410-accesul-autovehiculelor-grele-in-comuna-branesti-judetul-ilfov" TargetMode="External"/><Relationship Id="rId84" Type="http://schemas.openxmlformats.org/officeDocument/2006/relationships/hyperlink" Target="https://www.primaria-branesti.ro/index.php/anunturi-importante/410-accesul-autovehiculelor-grele-in-comuna-branesti-judetul-ilfov" TargetMode="External"/><Relationship Id="rId85" Type="http://schemas.openxmlformats.org/officeDocument/2006/relationships/hyperlink" Target="https://www.primaria-branesti.ro/index.php/anunturi-importante/410-accesul-autovehiculelor-grele-in-comuna-branesti-judetul-ilfov" TargetMode="External"/><Relationship Id="rId86" Type="http://schemas.openxmlformats.org/officeDocument/2006/relationships/hyperlink" Target="https://www.primariabuftea.ro/wp-content/uploads/2026/01/1851.pdf" TargetMode="External"/><Relationship Id="rId87" Type="http://schemas.openxmlformats.org/officeDocument/2006/relationships/hyperlink" Target="https://www.primariabuftea.ro/wp-content/uploads/2026/01/1851.pdf" TargetMode="External"/><Relationship Id="rId88" Type="http://schemas.openxmlformats.org/officeDocument/2006/relationships/hyperlink" Target="https://www.primariabuftea.ro/wp-content/uploads/2026/01/1851.pdf" TargetMode="External"/><Relationship Id="rId89" Type="http://schemas.openxmlformats.org/officeDocument/2006/relationships/hyperlink" Target="https://www.primariabuftea.ro/wp-content/uploads/2026/01/1851.pdf" TargetMode="External"/><Relationship Id="rId90" Type="http://schemas.openxmlformats.org/officeDocument/2006/relationships/hyperlink" Target="https://www.primariabuftea.ro/wp-content/uploads/2026/01/1851.pdf" TargetMode="External"/><Relationship Id="rId91" Type="http://schemas.openxmlformats.org/officeDocument/2006/relationships/hyperlink" Target="https://www.primariabuftea.ro/wp-content/uploads/2026/01/1851.pdf" TargetMode="External"/><Relationship Id="rId92" Type="http://schemas.openxmlformats.org/officeDocument/2006/relationships/hyperlink" Target="https://www.primariabuftea.ro/wp-content/uploads/2026/01/1851.pdf" TargetMode="External"/><Relationship Id="rId93" Type="http://schemas.openxmlformats.org/officeDocument/2006/relationships/hyperlink" Target="https://www.primariabuftea.ro/wp-content/uploads/2026/01/1851.pdf" TargetMode="External"/><Relationship Id="rId94" Type="http://schemas.openxmlformats.org/officeDocument/2006/relationships/hyperlink" Target="https://www.primariabuftea.ro/wp-content/uploads/2026/01/1851.pdf" TargetMode="External"/><Relationship Id="rId95" Type="http://schemas.openxmlformats.org/officeDocument/2006/relationships/hyperlink" Target="https://www.primariabuftea.ro/wp-content/uploads/2026/01/1851.pdf" TargetMode="External"/><Relationship Id="rId96" Type="http://schemas.openxmlformats.org/officeDocument/2006/relationships/hyperlink" Target="https://www.primariabuftea.ro/wp-content/uploads/2026/01/1851.pdf" TargetMode="External"/><Relationship Id="rId97" Type="http://schemas.openxmlformats.org/officeDocument/2006/relationships/hyperlink" Target="https://www.primariabuftea.ro/wp-content/uploads/2026/01/1851.pdf" TargetMode="External"/><Relationship Id="rId98" Type="http://schemas.openxmlformats.org/officeDocument/2006/relationships/hyperlink" Target="https://www.primariabuftea.ro/wp-content/uploads/2026/01/1851.pdf" TargetMode="External"/><Relationship Id="rId99" Type="http://schemas.openxmlformats.org/officeDocument/2006/relationships/hyperlink" Target="https://www.primariabuftea.ro/wp-content/uploads/2026/01/1851.pdf" TargetMode="External"/><Relationship Id="rId100" Type="http://schemas.openxmlformats.org/officeDocument/2006/relationships/hyperlink" Target="https://www.primariabuftea.ro/wp-content/uploads/2026/01/1851.pdf" TargetMode="External"/><Relationship Id="rId101" Type="http://schemas.openxmlformats.org/officeDocument/2006/relationships/hyperlink" Target="https://www.primariabuftea.ro/wp-content/uploads/2026/01/1851.pdf" TargetMode="External"/><Relationship Id="rId102" Type="http://schemas.openxmlformats.org/officeDocument/2006/relationships/hyperlink" Target="https://www.primariabuftea.ro/wp-content/uploads/2026/01/1851.pdf" TargetMode="External"/><Relationship Id="rId103" Type="http://schemas.openxmlformats.org/officeDocument/2006/relationships/hyperlink" Target="https://www.primariabuftea.ro/wp-content/uploads/2026/01/1851.pdf" TargetMode="External"/><Relationship Id="rId104" Type="http://schemas.openxmlformats.org/officeDocument/2006/relationships/hyperlink" Target="https://www.primariabuftea.ro/wp-content/uploads/2026/01/1851.pdf" TargetMode="External"/><Relationship Id="rId105" Type="http://schemas.openxmlformats.org/officeDocument/2006/relationships/hyperlink" Target="https://www.primariabuftea.ro/wp-content/uploads/2026/01/1851.pdf" TargetMode="External"/><Relationship Id="rId106" Type="http://schemas.openxmlformats.org/officeDocument/2006/relationships/hyperlink" Target="https://www.primariabuftea.ro/wp-content/uploads/2026/01/1851.pdf" TargetMode="External"/><Relationship Id="rId107" Type="http://schemas.openxmlformats.org/officeDocument/2006/relationships/hyperlink" Target="https://www.primariabuftea.ro/wp-content/uploads/2026/01/1851.pdf" TargetMode="External"/><Relationship Id="rId108" Type="http://schemas.openxmlformats.org/officeDocument/2006/relationships/hyperlink" Target="https://www.primariabuftea.ro/wp-content/uploads/2026/01/1851.pdf" TargetMode="External"/><Relationship Id="rId109" Type="http://schemas.openxmlformats.org/officeDocument/2006/relationships/hyperlink" Target="https://www.primariabuftea.ro/wp-content/uploads/2026/01/1851.pdf" TargetMode="External"/><Relationship Id="rId110" Type="http://schemas.openxmlformats.org/officeDocument/2006/relationships/hyperlink" Target="https://www.primariabuftea.ro/wp-content/uploads/2026/01/1851.pdf" TargetMode="External"/><Relationship Id="rId111" Type="http://schemas.openxmlformats.org/officeDocument/2006/relationships/hyperlink" Target="https://www.primariabuftea.ro/wp-content/uploads/2026/01/1851.pdf" TargetMode="External"/><Relationship Id="rId112" Type="http://schemas.openxmlformats.org/officeDocument/2006/relationships/hyperlink" Target="https://www.primariabuftea.ro/wp-content/uploads/2026/01/1851.pdf" TargetMode="External"/><Relationship Id="rId113" Type="http://schemas.openxmlformats.org/officeDocument/2006/relationships/hyperlink" Target="https://www.primariabuftea.ro/wp-content/uploads/2026/01/1851.pdf" TargetMode="External"/><Relationship Id="rId114" Type="http://schemas.openxmlformats.org/officeDocument/2006/relationships/hyperlink" Target="https://www.primariabuftea.ro/wp-content/uploads/2026/01/1851.pdf" TargetMode="External"/><Relationship Id="rId115" Type="http://schemas.openxmlformats.org/officeDocument/2006/relationships/hyperlink" Target="https://www.primariabuftea.ro/wp-content/uploads/2026/01/1851.pdf" TargetMode="External"/><Relationship Id="rId116" Type="http://schemas.openxmlformats.org/officeDocument/2006/relationships/hyperlink" Target="https://www.primariabuftea.ro/wp-content/uploads/2026/01/1851.pdf" TargetMode="External"/><Relationship Id="rId117" Type="http://schemas.openxmlformats.org/officeDocument/2006/relationships/hyperlink" Target="https://www.primariabuftea.ro/wp-content/uploads/2026/01/1851.pdf" TargetMode="External"/><Relationship Id="rId118" Type="http://schemas.openxmlformats.org/officeDocument/2006/relationships/hyperlink" Target="https://www.primariabuftea.ro/wp-content/uploads/2026/01/1851.pdf" TargetMode="External"/><Relationship Id="rId119" Type="http://schemas.openxmlformats.org/officeDocument/2006/relationships/hyperlink" Target="https://www.primariabuftea.ro/wp-content/uploads/2026/01/1851.pdf" TargetMode="External"/><Relationship Id="rId120" Type="http://schemas.openxmlformats.org/officeDocument/2006/relationships/hyperlink" Target="https://www.primariabuftea.ro/wp-content/uploads/2026/01/1851.pdf" TargetMode="External"/><Relationship Id="rId121" Type="http://schemas.openxmlformats.org/officeDocument/2006/relationships/hyperlink" Target="https://www.ghiseul.ro/ghiseul/public/institutii/detalii?id_inst=14688" TargetMode="External"/><Relationship Id="rId122" Type="http://schemas.openxmlformats.org/officeDocument/2006/relationships/hyperlink" Target="https://www.ghiseul.ro/ghiseul/public/institutii/detalii?id_inst=14688" TargetMode="External"/><Relationship Id="rId123" Type="http://schemas.openxmlformats.org/officeDocument/2006/relationships/hyperlink" Target="https://emol.ro/pluginfile.php/1/local_emol/documenthcl/86674/ANEXA%20HCL%2089%20din%202025.pdf" TargetMode="External"/><Relationship Id="rId124" Type="http://schemas.openxmlformats.org/officeDocument/2006/relationships/hyperlink" Target="https://emol.ro/pluginfile.php/1/local_emol/documenthcl/86674/ANEXA%20HCL%2089%20din%202025.pdf" TargetMode="External"/><Relationship Id="rId125" Type="http://schemas.openxmlformats.org/officeDocument/2006/relationships/hyperlink" Target="https://emol.ro/pluginfile.php/1/local_emol/documenthcl/86674/ANEXA%20HCL%2089%20din%202025.pdf" TargetMode="External"/><Relationship Id="rId126" Type="http://schemas.openxmlformats.org/officeDocument/2006/relationships/hyperlink" Target="https://emol.ro/pluginfile.php/1/local_emol/documenthcl/86674/ANEXA%20HCL%2089%20din%202025.pdf" TargetMode="External"/><Relationship Id="rId127" Type="http://schemas.openxmlformats.org/officeDocument/2006/relationships/hyperlink" Target="https://emol.ro/pluginfile.php/1/local_emol/documenthcl/86674/ANEXA%20HCL%2089%20din%202025.pdf" TargetMode="External"/><Relationship Id="rId128" Type="http://schemas.openxmlformats.org/officeDocument/2006/relationships/hyperlink" Target="https://emol.ro/pluginfile.php/1/local_emol/documenthcl/86674/ANEXA%20HCL%2089%20din%202025.pdf" TargetMode="External"/><Relationship Id="rId129" Type="http://schemas.openxmlformats.org/officeDocument/2006/relationships/hyperlink" Target="https://emol.ro/pluginfile.php/1/local_emol/documenthcl/86674/ANEXA%20HCL%2089%20din%202025.pdf" TargetMode="External"/><Relationship Id="rId130" Type="http://schemas.openxmlformats.org/officeDocument/2006/relationships/hyperlink" Target="https://emol.ro/pluginfile.php/1/local_emol/documenthcl/86674/ANEXA%20HCL%2089%20din%202025.pdf" TargetMode="External"/><Relationship Id="rId131" Type="http://schemas.openxmlformats.org/officeDocument/2006/relationships/hyperlink" Target="https://emol.ro/pluginfile.php/1/local_emol/documenthcl/86674/ANEXA%20HCL%2089%20din%202025.pdf" TargetMode="External"/><Relationship Id="rId132" Type="http://schemas.openxmlformats.org/officeDocument/2006/relationships/hyperlink" Target="https://emol.ro/pluginfile.php/1/local_emol/documenthcl/86674/ANEXA%20HCL%2089%20din%202025.pdf" TargetMode="External"/><Relationship Id="rId133" Type="http://schemas.openxmlformats.org/officeDocument/2006/relationships/hyperlink" Target="https://emol.ro/pluginfile.php/1/local_emol/documenthcl/86674/ANEXA%20HCL%2089%20din%202025.pdf" TargetMode="External"/><Relationship Id="rId134" Type="http://schemas.openxmlformats.org/officeDocument/2006/relationships/hyperlink" Target="https://emol.ro/pluginfile.php/1/local_emol/documenthcl/86674/ANEXA%20HCL%2089%20din%202025.pdf" TargetMode="External"/><Relationship Id="rId135" Type="http://schemas.openxmlformats.org/officeDocument/2006/relationships/hyperlink" Target="https://primariachitila.ro/new/wp-content/uploads/2025/11/Anunt-consultare-publica-la-proiectul-de-Hotarare-referitor-la-stabilirea-nivelurilor-impozitelor-si-taxelor-locale-pentru-anul-2026.pdf" TargetMode="External"/><Relationship Id="rId136" Type="http://schemas.openxmlformats.org/officeDocument/2006/relationships/hyperlink" Target="https://primariachitila.ro/new/wp-content/uploads/2025/11/Anunt-consultare-publica-la-proiectul-de-Hotarare-referitor-la-stabilirea-nivelurilor-impozitelor-si-taxelor-locale-pentru-anul-2026.pdf" TargetMode="External"/><Relationship Id="rId137" Type="http://schemas.openxmlformats.org/officeDocument/2006/relationships/hyperlink" Target="https://primariachitila.ro/new/wp-content/uploads/2025/11/Anunt-consultare-publica-la-proiectul-de-Hotarare-referitor-la-stabilirea-nivelurilor-impozitelor-si-taxelor-locale-pentru-anul-2026.pdf" TargetMode="External"/><Relationship Id="rId138" Type="http://schemas.openxmlformats.org/officeDocument/2006/relationships/hyperlink" Target="https://primariachitila.ro/new/wp-content/uploads/2025/11/Anunt-consultare-publica-la-proiectul-de-Hotarare-referitor-la-stabilirea-nivelurilor-impozitelor-si-taxelor-locale-pentru-anul-2026.pdf" TargetMode="External"/><Relationship Id="rId139" Type="http://schemas.openxmlformats.org/officeDocument/2006/relationships/hyperlink" Target="https://primariachitila.ro/new/wp-content/uploads/2025/11/Anunt-consultare-publica-la-proiectul-de-Hotarare-referitor-la-stabilirea-nivelurilor-impozitelor-si-taxelor-locale-pentru-anul-2026.pdf" TargetMode="External"/><Relationship Id="rId140" Type="http://schemas.openxmlformats.org/officeDocument/2006/relationships/hyperlink" Target="https://primariaciolpani.ro/" TargetMode="External"/><Relationship Id="rId141" Type="http://schemas.openxmlformats.org/officeDocument/2006/relationships/hyperlink" Target="https://primariaciorogarla.ro/impozite-si-taxe-locale/" TargetMode="External"/><Relationship Id="rId142" Type="http://schemas.openxmlformats.org/officeDocument/2006/relationships/hyperlink" Target="https://primaria-clinceni.ro/formulare/" TargetMode="External"/><Relationship Id="rId143" Type="http://schemas.openxmlformats.org/officeDocument/2006/relationships/hyperlink" Target="https://pcc.ro/acte/Taxa_masini_grele.pdf" TargetMode="External"/><Relationship Id="rId144" Type="http://schemas.openxmlformats.org/officeDocument/2006/relationships/hyperlink" Target="https://pcc.ro/acte/Taxa_masini_grele.pdf" TargetMode="External"/><Relationship Id="rId145" Type="http://schemas.openxmlformats.org/officeDocument/2006/relationships/hyperlink" Target="https://pcc.ro/acte/Taxa_masini_grele.pdf" TargetMode="External"/><Relationship Id="rId146" Type="http://schemas.openxmlformats.org/officeDocument/2006/relationships/hyperlink" Target="https://pcc.ro/acte/Taxa_masini_grele.pdf" TargetMode="External"/><Relationship Id="rId147" Type="http://schemas.openxmlformats.org/officeDocument/2006/relationships/hyperlink" Target="https://pcc.ro/acte/Taxa_masini_grele.pdf" TargetMode="External"/><Relationship Id="rId148" Type="http://schemas.openxmlformats.org/officeDocument/2006/relationships/hyperlink" Target="https://pcc.ro/acte/Taxa_masini_grele.pdf" TargetMode="External"/><Relationship Id="rId149" Type="http://schemas.openxmlformats.org/officeDocument/2006/relationships/hyperlink" Target="https://pcc.ro/acte/Taxa_masini_grele.pdf" TargetMode="External"/><Relationship Id="rId150" Type="http://schemas.openxmlformats.org/officeDocument/2006/relationships/hyperlink" Target="https://pcc.ro/acte/Taxa_masini_grele.pdf" TargetMode="External"/><Relationship Id="rId151" Type="http://schemas.openxmlformats.org/officeDocument/2006/relationships/hyperlink" Target="https://pcc.ro/acte/Taxa_masini_grele.pdf" TargetMode="External"/><Relationship Id="rId152" Type="http://schemas.openxmlformats.org/officeDocument/2006/relationships/hyperlink" Target="https://pcc.ro/acte/Taxa_masini_grele.pdf" TargetMode="External"/><Relationship Id="rId153" Type="http://schemas.openxmlformats.org/officeDocument/2006/relationships/hyperlink" Target="https://pcc.ro/acte/Taxa_masini_grele.pdf" TargetMode="External"/><Relationship Id="rId154" Type="http://schemas.openxmlformats.org/officeDocument/2006/relationships/hyperlink" Target="https://pcc.ro/acte/Taxa_masini_grele.pdf" TargetMode="External"/><Relationship Id="rId155" Type="http://schemas.openxmlformats.org/officeDocument/2006/relationships/hyperlink" Target="https://pcc.ro/acte/Taxa_masini_grele.pdf" TargetMode="External"/><Relationship Id="rId156" Type="http://schemas.openxmlformats.org/officeDocument/2006/relationships/hyperlink" Target="https://pcc.ro/acte/Taxa_masini_grele.pdf" TargetMode="External"/><Relationship Id="rId157" Type="http://schemas.openxmlformats.org/officeDocument/2006/relationships/hyperlink" Target="https://pcc.ro/acte/Taxa_masini_grele.pdf" TargetMode="External"/><Relationship Id="rId158" Type="http://schemas.openxmlformats.org/officeDocument/2006/relationships/hyperlink" Target="https://pcc.ro/acte/Taxa_masini_grele.pdf" TargetMode="External"/><Relationship Id="rId159" Type="http://schemas.openxmlformats.org/officeDocument/2006/relationships/hyperlink" Target="https://pcc.ro/acte/Taxa_masini_grele.pdf" TargetMode="External"/><Relationship Id="rId160" Type="http://schemas.openxmlformats.org/officeDocument/2006/relationships/hyperlink" Target="https://pcc.ro/acte/Taxa_masini_grele.pdf" TargetMode="External"/><Relationship Id="rId161" Type="http://schemas.openxmlformats.org/officeDocument/2006/relationships/hyperlink" Target="https://pcc.ro/acte/Taxa_masini_grele.pdf" TargetMode="External"/><Relationship Id="rId162" Type="http://schemas.openxmlformats.org/officeDocument/2006/relationships/hyperlink" Target="https://pcc.ro/acte/Taxa_masini_grele.pdf" TargetMode="External"/><Relationship Id="rId163" Type="http://schemas.openxmlformats.org/officeDocument/2006/relationships/hyperlink" Target="https://pcc.ro/acte/Taxa_masini_grele.pdf" TargetMode="External"/><Relationship Id="rId164" Type="http://schemas.openxmlformats.org/officeDocument/2006/relationships/hyperlink" Target="https://pcc.ro/acte/Taxa_masini_grele.pdf" TargetMode="External"/><Relationship Id="rId165" Type="http://schemas.openxmlformats.org/officeDocument/2006/relationships/hyperlink" Target="https://pcc.ro/acte/Taxa_masini_grele.pdf" TargetMode="External"/><Relationship Id="rId166" Type="http://schemas.openxmlformats.org/officeDocument/2006/relationships/hyperlink" Target="https://pcc.ro/acte/Taxa_masini_grele.pdf" TargetMode="External"/><Relationship Id="rId167" Type="http://schemas.openxmlformats.org/officeDocument/2006/relationships/hyperlink" Target="https://pcc.ro/acte/Taxa_masini_grele.pdf" TargetMode="External"/><Relationship Id="rId168" Type="http://schemas.openxmlformats.org/officeDocument/2006/relationships/hyperlink" Target="https://pcc.ro/acte/Taxa_masini_grele.pdf" TargetMode="External"/><Relationship Id="rId169" Type="http://schemas.openxmlformats.org/officeDocument/2006/relationships/hyperlink" Target="https://pcc.ro/acte/Taxa_masini_grele.pdf" TargetMode="External"/><Relationship Id="rId170" Type="http://schemas.openxmlformats.org/officeDocument/2006/relationships/hyperlink" Target="https://pcc.ro/acte/Taxa_masini_grele.pdf" TargetMode="External"/><Relationship Id="rId171" Type="http://schemas.openxmlformats.org/officeDocument/2006/relationships/hyperlink" Target="https://pcc.ro/acte/Taxa_masini_grele.pdf" TargetMode="External"/><Relationship Id="rId172" Type="http://schemas.openxmlformats.org/officeDocument/2006/relationships/hyperlink" Target="https://pcc.ro/acte/Taxa_masini_grele.pdf" TargetMode="External"/><Relationship Id="rId173" Type="http://schemas.openxmlformats.org/officeDocument/2006/relationships/hyperlink" Target="https://pcc.ro/acte/Taxa_masini_grele.pdf" TargetMode="External"/><Relationship Id="rId174" Type="http://schemas.openxmlformats.org/officeDocument/2006/relationships/hyperlink" Target="https://pcc.ro/acte/Taxa_masini_grele.pdf" TargetMode="External"/><Relationship Id="rId175" Type="http://schemas.openxmlformats.org/officeDocument/2006/relationships/hyperlink" Target="https://pcc.ro/acte/Taxa_masini_grele.pdf" TargetMode="External"/><Relationship Id="rId176" Type="http://schemas.openxmlformats.org/officeDocument/2006/relationships/hyperlink" Target="https://pcc.ro/acte/Taxa_masini_grele.pdf" TargetMode="External"/><Relationship Id="rId177" Type="http://schemas.openxmlformats.org/officeDocument/2006/relationships/hyperlink" Target="https://pcc.ro/acte/Taxa_masini_grele.pdf" TargetMode="External"/><Relationship Id="rId178" Type="http://schemas.openxmlformats.org/officeDocument/2006/relationships/hyperlink" Target="https://pcc.ro/consultare-publica-taxa-de-tonaj/" TargetMode="External"/><Relationship Id="rId179" Type="http://schemas.openxmlformats.org/officeDocument/2006/relationships/hyperlink" Target="https://www.primariacornetu.ro/informatii-de-interes-public/formulare-tip/impozite-si-taxe-locale/" TargetMode="External"/><Relationship Id="rId180" Type="http://schemas.openxmlformats.org/officeDocument/2006/relationships/hyperlink" Target="https://www.ghiseul.ro/ghiseul/public/institutii/detalii?id_inst=4147" TargetMode="External"/><Relationship Id="rId181" Type="http://schemas.openxmlformats.org/officeDocument/2006/relationships/hyperlink" Target="https://primariadomnesti.ro/wp-content/uploads/2026/02/HCL-6.pdf" TargetMode="External"/><Relationship Id="rId182" Type="http://schemas.openxmlformats.org/officeDocument/2006/relationships/hyperlink" Target="https://primariadragomirestivale.ro/wp-content/uploads/2026/01/HCL-56-din-30.12.2025.pdf" TargetMode="External"/><Relationship Id="rId183" Type="http://schemas.openxmlformats.org/officeDocument/2006/relationships/hyperlink" Target="https://comunadarastiilfov.ro/categorie-document/taxe-si-impozite-locale/" TargetMode="External"/><Relationship Id="rId184" Type="http://schemas.openxmlformats.org/officeDocument/2006/relationships/hyperlink" Target="https://primaria-glina.ro/hcl/hotarari-ale-consiliului-local-2025" TargetMode="External"/><Relationship Id="rId185" Type="http://schemas.openxmlformats.org/officeDocument/2006/relationships/hyperlink" Target="https://monitor.primariagruiu.ro/" TargetMode="External"/><Relationship Id="rId186" Type="http://schemas.openxmlformats.org/officeDocument/2006/relationships/hyperlink" Target="https://primariajilava.ro/autorizatii-transport-75-tone-si-35-tone/" TargetMode="External"/><Relationship Id="rId187" Type="http://schemas.openxmlformats.org/officeDocument/2006/relationships/hyperlink" Target="https://primariajilava.ro/autorizatii-transport-75-tone-si-35-tone/" TargetMode="External"/><Relationship Id="rId188" Type="http://schemas.openxmlformats.org/officeDocument/2006/relationships/hyperlink" Target="https://primaria.mogosoaia.ro/" TargetMode="External"/><Relationship Id="rId189" Type="http://schemas.openxmlformats.org/officeDocument/2006/relationships/hyperlink" Target="https://primariamagurele.ro/cereri-si-formulare" TargetMode="External"/><Relationship Id="rId190" Type="http://schemas.openxmlformats.org/officeDocument/2006/relationships/hyperlink" Target="https://www.otopeniro.ro/taxe-si-impozite-48" TargetMode="External"/><Relationship Id="rId191" Type="http://schemas.openxmlformats.org/officeDocument/2006/relationships/hyperlink" Target="https://www.ghiseul.ro/ghiseul/public/institutii/detalii?id_inst=3447" TargetMode="External"/><Relationship Id="rId192" Type="http://schemas.openxmlformats.org/officeDocument/2006/relationships/hyperlink" Target="https://v2.primaria-tunari.ro/" TargetMode="External"/><Relationship Id="rId193" Type="http://schemas.openxmlformats.org/officeDocument/2006/relationships/hyperlink" Target="https://primaria-vidra.ro/wp-content/uploads/2026/01/ANEXA-IMPOZITE-SI-TAXE-PT.ANUL-2022-VIDRA-mod.cu-directiva-27-noi-2025-conv.pdf" TargetMode="External"/><Relationship Id="rId194" Type="http://schemas.openxmlformats.org/officeDocument/2006/relationships/hyperlink" Target="https://www.politialocalavoluntari.ro/uploads/article/description/tabel_taxe_autovehicule_grele.pdf" TargetMode="External"/><Relationship Id="rId195" Type="http://schemas.openxmlformats.org/officeDocument/2006/relationships/hyperlink" Target="https://www.politialocalavoluntari.ro/uploads/article/description/tabel_taxe_autovehicule_grele.pdf" TargetMode="External"/><Relationship Id="rId196" Type="http://schemas.openxmlformats.org/officeDocument/2006/relationships/hyperlink" Target="https://www.politialocalavoluntari.ro/uploads/article/description/tabel_taxe_autovehicule_grele.pdf" TargetMode="External"/><Relationship Id="rId197" Type="http://schemas.openxmlformats.org/officeDocument/2006/relationships/hyperlink" Target="https://www.politialocalavoluntari.ro/uploads/article/description/tabel_taxe_autovehicule_grele.pdf" TargetMode="External"/><Relationship Id="rId198" Type="http://schemas.openxmlformats.org/officeDocument/2006/relationships/hyperlink" Target="https://www.politialocalavoluntari.ro/uploads/article/description/tabel_taxe_autovehicule_grele.pdf" TargetMode="External"/><Relationship Id="rId199" Type="http://schemas.openxmlformats.org/officeDocument/2006/relationships/hyperlink" Target="https://www.politialocalavoluntari.ro/uploads/article/description/tabel_taxe_autovehicule_grele.pdf" TargetMode="External"/><Relationship Id="rId200" Type="http://schemas.openxmlformats.org/officeDocument/2006/relationships/hyperlink" Target="https://www.politialocalavoluntari.ro/uploads/article/description/tabel_taxe_autovehicule_grele.pdf" TargetMode="External"/><Relationship Id="rId201" Type="http://schemas.openxmlformats.org/officeDocument/2006/relationships/hyperlink" Target="https://www.politialocalavoluntari.ro/uploads/article/description/tabel_taxe_autovehicule_grele.pdf" TargetMode="External"/><Relationship Id="rId202" Type="http://schemas.openxmlformats.org/officeDocument/2006/relationships/hyperlink" Target="https://www.politialocalavoluntari.ro/uploads/article/description/tabel_taxe_autovehicule_grele.pdf" TargetMode="External"/><Relationship Id="rId203" Type="http://schemas.openxmlformats.org/officeDocument/2006/relationships/hyperlink" Target="https://www.politialocalavoluntari.ro/uploads/article/description/tabel_taxe_autovehicule_grele.pdf" TargetMode="External"/><Relationship Id="rId204" Type="http://schemas.openxmlformats.org/officeDocument/2006/relationships/hyperlink" Target="https://www.politialocalavoluntari.ro/uploads/article/description/tabel_taxe_autovehicule_grele.pdf" TargetMode="External"/><Relationship Id="rId205" Type="http://schemas.openxmlformats.org/officeDocument/2006/relationships/hyperlink" Target="https://www.politialocalavoluntari.ro/uploads/article/description/tabel_taxe_autovehicule_grele.pdf" TargetMode="External"/><Relationship Id="rId206" Type="http://schemas.openxmlformats.org/officeDocument/2006/relationships/hyperlink" Target="https://www.politialocalavoluntari.ro/uploads/article/description/tabel_taxe_autovehicule_grele.pdf" TargetMode="External"/><Relationship Id="rId207" Type="http://schemas.openxmlformats.org/officeDocument/2006/relationships/hyperlink" Target="https://www.politialocalavoluntari.ro/uploads/article/description/tabel_taxe_autovehicule_grele.pdf" TargetMode="External"/><Relationship Id="rId208" Type="http://schemas.openxmlformats.org/officeDocument/2006/relationships/hyperlink" Target="https://www.politialocalavoluntari.ro/uploads/article/description/tabel_taxe_autovehicule_grele.pdf" TargetMode="External"/><Relationship Id="rId209" Type="http://schemas.openxmlformats.org/officeDocument/2006/relationships/hyperlink" Target="https://www.politialocalavoluntari.ro/uploads/article/description/tabel_taxe_autovehicule_grele.pdf" TargetMode="External"/><Relationship Id="rId210" Type="http://schemas.openxmlformats.org/officeDocument/2006/relationships/hyperlink" Target="https://www.politialocalavoluntari.ro/uploads/article/description/tabel_taxe_autovehicule_grele.pdf" TargetMode="External"/><Relationship Id="rId211" Type="http://schemas.openxmlformats.org/officeDocument/2006/relationships/hyperlink" Target="https://www.politialocalavoluntari.ro/uploads/article/description/tabel_taxe_autovehicule_grele.pdf" TargetMode="External"/><Relationship Id="rId212" Type="http://schemas.openxmlformats.org/officeDocument/2006/relationships/hyperlink" Target="https://emol.ro/stefanestiidejos-if/HAD/" TargetMode="External"/><Relationship Id="rId213" Type="http://schemas.openxmlformats.org/officeDocument/2006/relationships/hyperlink" Target="https://www.bursatransport.com/info/access/viewarticle/slug/taxe-acces-alba-iulia" TargetMode="External"/><Relationship Id="rId214" Type="http://schemas.openxmlformats.org/officeDocument/2006/relationships/hyperlink" Target="https://www.bursatransport.com/info/access/viewarticle/slug/taxe-acces-alba-iulia" TargetMode="External"/><Relationship Id="rId215" Type="http://schemas.openxmlformats.org/officeDocument/2006/relationships/hyperlink" Target="https://www.bursatransport.com/info/access/viewarticle/slug/taxe-acces-alba-iulia" TargetMode="External"/><Relationship Id="rId216" Type="http://schemas.openxmlformats.org/officeDocument/2006/relationships/hyperlink" Target="https://www.bursatransport.com/info/access/viewarticle/slug/taxe-acces-alba-iulia" TargetMode="External"/><Relationship Id="rId217" Type="http://schemas.openxmlformats.org/officeDocument/2006/relationships/hyperlink" Target="https://www.bursatransport.com/info/access/viewarticle/slug/taxe-acces-alba-iulia" TargetMode="External"/><Relationship Id="rId218" Type="http://schemas.openxmlformats.org/officeDocument/2006/relationships/hyperlink" Target="https://www.bursatransport.com/info/access/viewarticle/slug/taxe-acces-alba-iulia" TargetMode="External"/><Relationship Id="rId219" Type="http://schemas.openxmlformats.org/officeDocument/2006/relationships/hyperlink" Target="https://www.bursatransport.com/info/access/viewarticle/slug/taxe-acces-alba-iulia" TargetMode="External"/><Relationship Id="rId220" Type="http://schemas.openxmlformats.org/officeDocument/2006/relationships/hyperlink" Target="https://www.bursatransport.com/info/access/viewarticle/slug/taxe-acces-alba-iulia" TargetMode="External"/><Relationship Id="rId221" Type="http://schemas.openxmlformats.org/officeDocument/2006/relationships/hyperlink" Target="https://www.bursatransport.com/info/access/viewarticle/slug/taxe-acces-alba-iulia" TargetMode="External"/><Relationship Id="rId222" Type="http://schemas.openxmlformats.org/officeDocument/2006/relationships/hyperlink" Target="https://www.bursatransport.com/info/access/viewarticle/slug/taxe-acces-alba-iulia" TargetMode="External"/><Relationship Id="rId223" Type="http://schemas.openxmlformats.org/officeDocument/2006/relationships/hyperlink" Target="https://www.bursatransport.com/info/access/viewarticle/slug/taxe-acces-alba-iulia" TargetMode="External"/><Relationship Id="rId224" Type="http://schemas.openxmlformats.org/officeDocument/2006/relationships/hyperlink" Target="https://www.bursatransport.com/info/access/viewarticle/slug/taxe-acces-alba-iulia" TargetMode="External"/><Relationship Id="rId225" Type="http://schemas.openxmlformats.org/officeDocument/2006/relationships/hyperlink" Target="https://www.bursatransport.com/info/access/viewarticle/slug/taxe-acces-alba-iulia" TargetMode="External"/><Relationship Id="rId226" Type="http://schemas.openxmlformats.org/officeDocument/2006/relationships/hyperlink" Target="https://www.bursatransport.com/info/access/viewarticle/slug/taxe-acces-alba-iulia" TargetMode="External"/><Relationship Id="rId227" Type="http://schemas.openxmlformats.org/officeDocument/2006/relationships/hyperlink" Target="https://www.bursatransport.com/info/access/viewarticle/slug/taxe-acces-alba-iulia" TargetMode="External"/><Relationship Id="rId228" Type="http://schemas.openxmlformats.org/officeDocument/2006/relationships/hyperlink" Target="https://www.bursatransport.com/info/access/viewarticle/slug/taxe-acces-alba-iulia" TargetMode="External"/><Relationship Id="rId229" Type="http://schemas.openxmlformats.org/officeDocument/2006/relationships/hyperlink" Target="https://www.bursatransport.com/info/access/viewarticle/slug/taxe-acces-alba-iulia" TargetMode="External"/><Relationship Id="rId230" Type="http://schemas.openxmlformats.org/officeDocument/2006/relationships/hyperlink" Target="https://www.bursatransport.com/info/access/viewarticle/slug/taxe-acces-alba-iulia" TargetMode="External"/><Relationship Id="rId231" Type="http://schemas.openxmlformats.org/officeDocument/2006/relationships/hyperlink" Target="https://www.bursatransport.com/info/access/viewarticle/slug/taxe-acces-alba-iulia" TargetMode="External"/><Relationship Id="rId232" Type="http://schemas.openxmlformats.org/officeDocument/2006/relationships/hyperlink" Target="https://www.bursatransport.com/info/access/viewarticle/slug/taxe-acces-alba-iulia" TargetMode="External"/><Relationship Id="rId233" Type="http://schemas.openxmlformats.org/officeDocument/2006/relationships/hyperlink" Target="https://www.bursatransport.com/info/access/viewarticle/slug/taxe-acces-alba-iulia" TargetMode="External"/><Relationship Id="rId234" Type="http://schemas.openxmlformats.org/officeDocument/2006/relationships/hyperlink" Target="https://www.bursatransport.com/info/access/viewarticle/slug/taxe-acces-alba-iulia" TargetMode="External"/><Relationship Id="rId235" Type="http://schemas.openxmlformats.org/officeDocument/2006/relationships/hyperlink" Target="https://www.bursatransport.com/info/access/viewarticle/slug/taxe-acces-alba-iulia" TargetMode="External"/><Relationship Id="rId236" Type="http://schemas.openxmlformats.org/officeDocument/2006/relationships/hyperlink" Target="https://www.bursatransport.com/info/access/viewarticle/slug/taxe-acces-alba-iulia" TargetMode="External"/><Relationship Id="rId237" Type="http://schemas.openxmlformats.org/officeDocument/2006/relationships/hyperlink" Target="https://www.bursatransport.com/info/access/viewarticle/slug/taxe-acces-alba-iulia" TargetMode="External"/><Relationship Id="rId238" Type="http://schemas.openxmlformats.org/officeDocument/2006/relationships/hyperlink" Target="https://www.bursatransport.com/info/access/viewarticle/slug/taxe-acces-alba-iulia" TargetMode="External"/><Relationship Id="rId239" Type="http://schemas.openxmlformats.org/officeDocument/2006/relationships/hyperlink" Target="https://www.bursatransport.com/info/access/viewarticle/slug/taxe-acces-alba-iulia" TargetMode="External"/><Relationship Id="rId240" Type="http://schemas.openxmlformats.org/officeDocument/2006/relationships/hyperlink" Target="https://www.bursatransport.com/info/access/viewarticle/slug/taxe-acces-alba-iulia" TargetMode="External"/><Relationship Id="rId241" Type="http://schemas.openxmlformats.org/officeDocument/2006/relationships/hyperlink" Target="https://www.bursatransport.com/info/access/viewarticle/slug/taxe-acces-alba-iulia" TargetMode="External"/><Relationship Id="rId242" Type="http://schemas.openxmlformats.org/officeDocument/2006/relationships/hyperlink" Target="https://www.bursatransport.com/info/access/viewarticle/slug/taxe-acces-alba-iulia" TargetMode="External"/><Relationship Id="rId243" Type="http://schemas.openxmlformats.org/officeDocument/2006/relationships/hyperlink" Target="https://www.bursatransport.com/info/access/viewarticle/slug/taxe-acces-alba-iulia" TargetMode="External"/><Relationship Id="rId244" Type="http://schemas.openxmlformats.org/officeDocument/2006/relationships/hyperlink" Target="https://www.bursatransport.com/info/access/viewarticle/slug/taxe-acces-alba-iulia" TargetMode="External"/><Relationship Id="rId245" Type="http://schemas.openxmlformats.org/officeDocument/2006/relationships/hyperlink" Target="https://www.bursatransport.com/info/access/viewarticle/slug/taxe-acces-alba-iulia" TargetMode="External"/><Relationship Id="rId246" Type="http://schemas.openxmlformats.org/officeDocument/2006/relationships/hyperlink" Target="https://www.primariaarad.ro/dm_arad/portal.nsf/B0DA7398D8C2C24CC22588FB002A93A9/$FILE/tarife%20trafic%20greu.pdf?Open" TargetMode="External"/><Relationship Id="rId247" Type="http://schemas.openxmlformats.org/officeDocument/2006/relationships/hyperlink" Target="https://www.primariaarad.ro/dm_arad/portal.nsf/B0DA7398D8C2C24CC22588FB002A93A9/$FILE/tarife%20trafic%20greu.pdf?Open" TargetMode="External"/><Relationship Id="rId248" Type="http://schemas.openxmlformats.org/officeDocument/2006/relationships/hyperlink" Target="https://www.primariaarad.ro/dm_arad/portal.nsf/B0DA7398D8C2C24CC22588FB002A93A9/$FILE/tarife%20trafic%20greu.pdf?Open" TargetMode="External"/><Relationship Id="rId249" Type="http://schemas.openxmlformats.org/officeDocument/2006/relationships/hyperlink" Target="https://www.primariaarad.ro/dm_arad/portal.nsf/B0DA7398D8C2C24CC22588FB002A93A9/$FILE/tarife%20trafic%20greu.pdf?Open" TargetMode="External"/><Relationship Id="rId250" Type="http://schemas.openxmlformats.org/officeDocument/2006/relationships/hyperlink" Target="https://www.primariaarad.ro/dm_arad/portal.nsf/B0DA7398D8C2C24CC22588FB002A93A9/$FILE/tarife%20trafic%20greu.pdf?Open" TargetMode="External"/><Relationship Id="rId251" Type="http://schemas.openxmlformats.org/officeDocument/2006/relationships/hyperlink" Target="https://www.primariaarad.ro/dm_arad/portal.nsf/B0DA7398D8C2C24CC22588FB002A93A9/$FILE/tarife%20trafic%20greu.pdf?Open" TargetMode="External"/><Relationship Id="rId252" Type="http://schemas.openxmlformats.org/officeDocument/2006/relationships/hyperlink" Target="https://www.primariaarad.ro/dm_arad/portal.nsf/B0DA7398D8C2C24CC22588FB002A93A9/$FILE/tarife%20trafic%20greu.pdf?Open" TargetMode="External"/><Relationship Id="rId253" Type="http://schemas.openxmlformats.org/officeDocument/2006/relationships/hyperlink" Target="https://www.primariaarad.ro/dm_arad/portal.nsf/B0DA7398D8C2C24CC22588FB002A93A9/$FILE/tarife%20trafic%20greu.pdf?Open" TargetMode="External"/><Relationship Id="rId254" Type="http://schemas.openxmlformats.org/officeDocument/2006/relationships/hyperlink" Target="https://www.primariaarad.ro/dm_arad/portal.nsf/B0DA7398D8C2C24CC22588FB002A93A9/$FILE/tarife%20trafic%20greu.pdf?Open" TargetMode="External"/><Relationship Id="rId255" Type="http://schemas.openxmlformats.org/officeDocument/2006/relationships/hyperlink" Target="https://www.primariaarad.ro/dm_arad/portal.nsf/B0DA7398D8C2C24CC22588FB002A93A9/$FILE/tarife%20trafic%20greu.pdf?Open" TargetMode="External"/><Relationship Id="rId256" Type="http://schemas.openxmlformats.org/officeDocument/2006/relationships/hyperlink" Target="https://www.primariaarad.ro/dm_arad/portal.nsf/B0DA7398D8C2C24CC22588FB002A93A9/$FILE/tarife%20trafic%20greu.pdf?Open" TargetMode="External"/><Relationship Id="rId257" Type="http://schemas.openxmlformats.org/officeDocument/2006/relationships/hyperlink" Target="https://www.primariaarad.ro/dm_arad/portal.nsf/B0DA7398D8C2C24CC22588FB002A93A9/$FILE/tarife%20trafic%20greu.pdf?Open" TargetMode="External"/><Relationship Id="rId258" Type="http://schemas.openxmlformats.org/officeDocument/2006/relationships/hyperlink" Target="https://www.primariaarad.ro/dm_arad/portal.nsf/B0DA7398D8C2C24CC22588FB002A93A9/$FILE/tarife%20trafic%20greu.pdf?Open" TargetMode="External"/><Relationship Id="rId259" Type="http://schemas.openxmlformats.org/officeDocument/2006/relationships/hyperlink" Target="https://www.primariaarad.ro/dm_arad/portal.nsf/B0DA7398D8C2C24CC22588FB002A93A9/$FILE/tarife%20trafic%20greu.pdf?Open" TargetMode="External"/><Relationship Id="rId260" Type="http://schemas.openxmlformats.org/officeDocument/2006/relationships/hyperlink" Target="https://www.primariaarad.ro/dm_arad/portal.nsf/B0DA7398D8C2C24CC22588FB002A93A9/$FILE/tarife%20trafic%20greu.pdf?Open" TargetMode="External"/><Relationship Id="rId261" Type="http://schemas.openxmlformats.org/officeDocument/2006/relationships/hyperlink" Target="https://www.primariaarad.ro/dm_arad/portal.nsf/B0DA7398D8C2C24CC22588FB002A93A9/$FILE/tarife%20trafic%20greu.pdf?Open" TargetMode="External"/><Relationship Id="rId262" Type="http://schemas.openxmlformats.org/officeDocument/2006/relationships/hyperlink" Target="https://www.primariaarad.ro/dm_arad/portal.nsf/B0DA7398D8C2C24CC22588FB002A93A9/$FILE/tarife%20trafic%20greu.pdf?Open" TargetMode="External"/><Relationship Id="rId263" Type="http://schemas.openxmlformats.org/officeDocument/2006/relationships/hyperlink" Target="https://www.primariaarad.ro/dm_arad/portal.nsf/B0DA7398D8C2C24CC22588FB002A93A9/$FILE/tarife%20trafic%20greu.pdf?Open" TargetMode="External"/><Relationship Id="rId264" Type="http://schemas.openxmlformats.org/officeDocument/2006/relationships/hyperlink" Target="https://www.primariaarad.ro/dm_arad/portal.nsf/B0DA7398D8C2C24CC22588FB002A93A9/$FILE/tarife%20trafic%20greu.pdf?Open" TargetMode="External"/><Relationship Id="rId265" Type="http://schemas.openxmlformats.org/officeDocument/2006/relationships/hyperlink" Target="https://www.primariaarad.ro/dm_arad/portal.nsf/B0DA7398D8C2C24CC22588FB002A93A9/$FILE/tarife%20trafic%20greu.pdf?Open" TargetMode="External"/><Relationship Id="rId266" Type="http://schemas.openxmlformats.org/officeDocument/2006/relationships/hyperlink" Target="https://www.primariapitesti.ro/compartimentul-tehnic-transport-local-si-protectia-mediului-p489" TargetMode="External"/><Relationship Id="rId267" Type="http://schemas.openxmlformats.org/officeDocument/2006/relationships/hyperlink" Target="https://taxe.municipiulbacau.ro/calcul-taxe-locale-2026/" TargetMode="External"/><Relationship Id="rId268" Type="http://schemas.openxmlformats.org/officeDocument/2006/relationships/hyperlink" Target="https://oradea.ro/wp-content/uploads/2026/02/HCL-854_25.pdf" TargetMode="External"/><Relationship Id="rId269" Type="http://schemas.openxmlformats.org/officeDocument/2006/relationships/hyperlink" Target="https://oradea.ro/wp-content/uploads/2026/02/HCL-854_25.pdf" TargetMode="External"/><Relationship Id="rId270" Type="http://schemas.openxmlformats.org/officeDocument/2006/relationships/hyperlink" Target="https://oradea.ro/wp-content/uploads/2026/02/HCL-854_25.pdf" TargetMode="External"/><Relationship Id="rId271" Type="http://schemas.openxmlformats.org/officeDocument/2006/relationships/hyperlink" Target="https://www.bursatransport.com/info/access/viewarticle/slug/taxe-acces-bistrita" TargetMode="External"/><Relationship Id="rId272" Type="http://schemas.openxmlformats.org/officeDocument/2006/relationships/hyperlink" Target="https://www.bursatransport.com/info/access/viewarticle/slug/taxe-acces-bistrita" TargetMode="External"/><Relationship Id="rId273" Type="http://schemas.openxmlformats.org/officeDocument/2006/relationships/hyperlink" Target="https://www.bursatransport.com/info/access/viewarticle/slug/taxe-acces-bistrita" TargetMode="External"/><Relationship Id="rId274" Type="http://schemas.openxmlformats.org/officeDocument/2006/relationships/hyperlink" Target="https://www.bursatransport.com/info/access/viewarticle/slug/taxe-acces-bistrita" TargetMode="External"/><Relationship Id="rId275" Type="http://schemas.openxmlformats.org/officeDocument/2006/relationships/hyperlink" Target="https://www.bursatransport.com/info/access/viewarticle/slug/taxe-acces-bistrita" TargetMode="External"/><Relationship Id="rId276" Type="http://schemas.openxmlformats.org/officeDocument/2006/relationships/hyperlink" Target="https://www.bursatransport.com/info/access/viewarticle/slug/taxe-acces-bistrita" TargetMode="External"/><Relationship Id="rId277" Type="http://schemas.openxmlformats.org/officeDocument/2006/relationships/hyperlink" Target="https://www.bursatransport.com/info/access/viewarticle/slug/taxe-acces-bistrita" TargetMode="External"/><Relationship Id="rId278" Type="http://schemas.openxmlformats.org/officeDocument/2006/relationships/hyperlink" Target="https://www.bursatransport.com/info/access/viewarticle/slug/taxe-acces-bistrita" TargetMode="External"/><Relationship Id="rId279" Type="http://schemas.openxmlformats.org/officeDocument/2006/relationships/hyperlink" Target="https://www.bursatransport.com/info/access/viewarticle/slug/taxe-acces-bistrita" TargetMode="External"/><Relationship Id="rId280" Type="http://schemas.openxmlformats.org/officeDocument/2006/relationships/hyperlink" Target="https://www.bursatransport.com/info/access/viewarticle/slug/taxe-acces-bistrita" TargetMode="External"/><Relationship Id="rId281" Type="http://schemas.openxmlformats.org/officeDocument/2006/relationships/hyperlink" Target="https://www.bursatransport.com/info/access/viewarticle/slug/taxe-acces-bistrita" TargetMode="External"/><Relationship Id="rId282" Type="http://schemas.openxmlformats.org/officeDocument/2006/relationships/hyperlink" Target="https://www.bursatransport.com/info/access/viewarticle/slug/taxe-acces-bistrita" TargetMode="External"/><Relationship Id="rId283" Type="http://schemas.openxmlformats.org/officeDocument/2006/relationships/hyperlink" Target="https://www.bursatransport.com/info/access/viewarticle/slug/taxe-acces-bistrita" TargetMode="External"/><Relationship Id="rId284" Type="http://schemas.openxmlformats.org/officeDocument/2006/relationships/hyperlink" Target="https://www.bursatransport.com/info/access/viewarticle/slug/taxe-acces-bistrita" TargetMode="External"/><Relationship Id="rId285" Type="http://schemas.openxmlformats.org/officeDocument/2006/relationships/hyperlink" Target="https://primariabt.ro/wp-content/uploads/formidable/9/602_25.pdf" TargetMode="External"/><Relationship Id="rId286" Type="http://schemas.openxmlformats.org/officeDocument/2006/relationships/hyperlink" Target="https://primariabt.ro/wp-content/uploads/formidable/9/602_25.pdf" TargetMode="External"/><Relationship Id="rId287" Type="http://schemas.openxmlformats.org/officeDocument/2006/relationships/hyperlink" Target="https://primariabt.ro/wp-content/uploads/formidable/9/602_25.pdf" TargetMode="External"/><Relationship Id="rId288" Type="http://schemas.openxmlformats.org/officeDocument/2006/relationships/hyperlink" Target="https://primariabt.ro/wp-content/uploads/formidable/9/602_25.pdf" TargetMode="External"/><Relationship Id="rId289" Type="http://schemas.openxmlformats.org/officeDocument/2006/relationships/hyperlink" Target="https://primariabt.ro/wp-content/uploads/formidable/9/602_25.pdf" TargetMode="External"/><Relationship Id="rId290" Type="http://schemas.openxmlformats.org/officeDocument/2006/relationships/hyperlink" Target="https://serviciielectronice.brasovcity.ro/cmsSE/media/documente_pdf/TAXE%20LT_2025.pdf" TargetMode="External"/><Relationship Id="rId291" Type="http://schemas.openxmlformats.org/officeDocument/2006/relationships/hyperlink" Target="https://serviciielectronice.brasovcity.ro/cmsSE/media/documente_pdf/TAXE%20LT_2025.pdf" TargetMode="External"/><Relationship Id="rId292" Type="http://schemas.openxmlformats.org/officeDocument/2006/relationships/hyperlink" Target="https://serviciielectronice.brasovcity.ro/cmsSE/media/documente_pdf/TAXE%20LT_2025.pdf" TargetMode="External"/><Relationship Id="rId293" Type="http://schemas.openxmlformats.org/officeDocument/2006/relationships/hyperlink" Target="https://serviciielectronice.brasovcity.ro/cmsSE/media/documente_pdf/TAXE%20LT_2025.pdf" TargetMode="External"/><Relationship Id="rId294" Type="http://schemas.openxmlformats.org/officeDocument/2006/relationships/hyperlink" Target="https://serviciielectronice.brasovcity.ro/cmsSE/media/documente_pdf/TAXE%20LT_2025.pdf" TargetMode="External"/><Relationship Id="rId295" Type="http://schemas.openxmlformats.org/officeDocument/2006/relationships/hyperlink" Target="https://serviciielectronice.brasovcity.ro/cmsSE/media/documente_pdf/TAXE%20LT_2025.pdf" TargetMode="External"/><Relationship Id="rId296" Type="http://schemas.openxmlformats.org/officeDocument/2006/relationships/hyperlink" Target="https://serviciielectronice.brasovcity.ro/cmsSE/media/documente_pdf/TAXE%20LT_2025.pdf" TargetMode="External"/><Relationship Id="rId297" Type="http://schemas.openxmlformats.org/officeDocument/2006/relationships/hyperlink" Target="https://serviciielectronice.brasovcity.ro/cmsSE/media/documente_pdf/TAXE%20LT_2025.pdf" TargetMode="External"/><Relationship Id="rId298" Type="http://schemas.openxmlformats.org/officeDocument/2006/relationships/hyperlink" Target="https://serviciielectronice.brasovcity.ro/cmsSE/media/documente_pdf/TAXE%20LT_2025.pdf" TargetMode="External"/><Relationship Id="rId299" Type="http://schemas.openxmlformats.org/officeDocument/2006/relationships/hyperlink" Target="https://serviciielectronice.brasovcity.ro/cmsSE/media/documente_pdf/TAXE%20LT_2025.pdf" TargetMode="External"/><Relationship Id="rId300" Type="http://schemas.openxmlformats.org/officeDocument/2006/relationships/hyperlink" Target="https://serviciielectronice.brasovcity.ro/cmsSE/media/documente_pdf/TAXE%20LT_2025.pdf" TargetMode="External"/><Relationship Id="rId301" Type="http://schemas.openxmlformats.org/officeDocument/2006/relationships/hyperlink" Target="https://serviciielectronice.brasovcity.ro/cmsSE/media/documente_pdf/TAXE%20LT_2025.pdf" TargetMode="External"/><Relationship Id="rId302" Type="http://schemas.openxmlformats.org/officeDocument/2006/relationships/hyperlink" Target="https://serviciielectronice.brasovcity.ro/cmsSE/media/documente_pdf/TAXE%20LT_2025.pdf" TargetMode="External"/><Relationship Id="rId303" Type="http://schemas.openxmlformats.org/officeDocument/2006/relationships/hyperlink" Target="https://serviciielectronice.brasovcity.ro/cmsSE/media/documente_pdf/TAXE%20LT_2025.pdf" TargetMode="External"/><Relationship Id="rId304" Type="http://schemas.openxmlformats.org/officeDocument/2006/relationships/hyperlink" Target="https://serviciielectronice.brasovcity.ro/cmsSE/media/documente_pdf/TAXE%20LT_2025.pdf" TargetMode="External"/><Relationship Id="rId305" Type="http://schemas.openxmlformats.org/officeDocument/2006/relationships/hyperlink" Target="https://serviciielectronice.brasovcity.ro/cmsSE/media/documente_pdf/TAXE%20LT_2025.pdf" TargetMode="External"/><Relationship Id="rId306" Type="http://schemas.openxmlformats.org/officeDocument/2006/relationships/hyperlink" Target="https://serviciielectronice.brasovcity.ro/cmsSE/media/documente_pdf/TAXE%20LT_2025.pdf" TargetMode="External"/><Relationship Id="rId307" Type="http://schemas.openxmlformats.org/officeDocument/2006/relationships/hyperlink" Target="https://serviciielectronice.brasovcity.ro/cmsSE/media/documente_pdf/TAXE%20LT_2025.pdf" TargetMode="External"/><Relationship Id="rId308" Type="http://schemas.openxmlformats.org/officeDocument/2006/relationships/hyperlink" Target="https://serviciielectronice.brasovcity.ro/cmsSE/media/acte_necesare/Regulament%20pentru%20eliberarea%20si%20utilizarea%20permiselor%20de%20libera%20trecere%20prin%20HCL%20779-2021%20.pdf" TargetMode="External"/><Relationship Id="rId309" Type="http://schemas.openxmlformats.org/officeDocument/2006/relationships/hyperlink" Target="https://www.primariabraila.ro/wp-content/uploads/2018/taxe" TargetMode="External"/><Relationship Id="rId310" Type="http://schemas.openxmlformats.org/officeDocument/2006/relationships/hyperlink" Target="https://www.primariabraila.ro/wp-content/uploads/2018/taxe" TargetMode="External"/><Relationship Id="rId311" Type="http://schemas.openxmlformats.org/officeDocument/2006/relationships/hyperlink" Target="https://www.primariabraila.ro/wp-content/uploads/2018/taxe" TargetMode="External"/><Relationship Id="rId312" Type="http://schemas.openxmlformats.org/officeDocument/2006/relationships/hyperlink" Target="https://www.primariabraila.ro/wp-content/uploads/2018/taxe" TargetMode="External"/><Relationship Id="rId313" Type="http://schemas.openxmlformats.org/officeDocument/2006/relationships/hyperlink" Target="https://www.primariabraila.ro/wp-content/uploads/2018/taxe" TargetMode="External"/><Relationship Id="rId314" Type="http://schemas.openxmlformats.org/officeDocument/2006/relationships/hyperlink" Target="https://www.primariabraila.ro/wp-content/uploads/2018/taxe" TargetMode="External"/><Relationship Id="rId315" Type="http://schemas.openxmlformats.org/officeDocument/2006/relationships/hyperlink" Target="https://www.primariabraila.ro/wp-content/uploads/2018/taxe" TargetMode="External"/><Relationship Id="rId316" Type="http://schemas.openxmlformats.org/officeDocument/2006/relationships/hyperlink" Target="https://www.primariabraila.ro/wp-content/uploads/2018/taxe" TargetMode="External"/><Relationship Id="rId317" Type="http://schemas.openxmlformats.org/officeDocument/2006/relationships/hyperlink" Target="https://www.primariabraila.ro/wp-content/uploads/2018/taxe" TargetMode="External"/><Relationship Id="rId318" Type="http://schemas.openxmlformats.org/officeDocument/2006/relationships/hyperlink" Target="https://www.primariabraila.ro/wp-content/uploads/2018/taxe" TargetMode="External"/><Relationship Id="rId319" Type="http://schemas.openxmlformats.org/officeDocument/2006/relationships/hyperlink" Target="https://www.primariabraila.ro/wp-content/uploads/2018/taxe" TargetMode="External"/><Relationship Id="rId320" Type="http://schemas.openxmlformats.org/officeDocument/2006/relationships/hyperlink" Target="https://www.primariabraila.ro/wp-content/uploads/2018/taxe" TargetMode="External"/><Relationship Id="rId321" Type="http://schemas.openxmlformats.org/officeDocument/2006/relationships/hyperlink" Target="https://www.primariabraila.ro/wp-content/uploads/2018/taxe" TargetMode="External"/><Relationship Id="rId322" Type="http://schemas.openxmlformats.org/officeDocument/2006/relationships/hyperlink" Target="https://www.primariabraila.ro/wp-content/uploads/2018/taxe" TargetMode="External"/><Relationship Id="rId323" Type="http://schemas.openxmlformats.org/officeDocument/2006/relationships/hyperlink" Target="https://www.primariabraila.ro/wp-content/uploads/2018/taxe" TargetMode="External"/><Relationship Id="rId324" Type="http://schemas.openxmlformats.org/officeDocument/2006/relationships/hyperlink" Target="https://www.primariabraila.ro/wp-content/uploads/2018/taxe" TargetMode="External"/><Relationship Id="rId325" Type="http://schemas.openxmlformats.org/officeDocument/2006/relationships/hyperlink" Target="https://www.primariabraila.ro/wp-content/uploads/2018/taxe" TargetMode="External"/><Relationship Id="rId326" Type="http://schemas.openxmlformats.org/officeDocument/2006/relationships/hyperlink" Target="https://www.primariabraila.ro/wp-content/uploads/2018/taxe" TargetMode="External"/><Relationship Id="rId327" Type="http://schemas.openxmlformats.org/officeDocument/2006/relationships/hyperlink" Target="https://www.bursatransport.com/info/access/viewarticle/slug/taxe-acces-buzau" TargetMode="External"/><Relationship Id="rId328" Type="http://schemas.openxmlformats.org/officeDocument/2006/relationships/hyperlink" Target="https://www.bursatransport.com/info/access/viewarticle/slug/taxe-acces-buzau" TargetMode="External"/><Relationship Id="rId329" Type="http://schemas.openxmlformats.org/officeDocument/2006/relationships/hyperlink" Target="https://www.bursatransport.com/info/access/viewarticle/slug/taxe-acces-buzau" TargetMode="External"/><Relationship Id="rId330" Type="http://schemas.openxmlformats.org/officeDocument/2006/relationships/hyperlink" Target="https://www.bursatransport.com/info/access/viewarticle/slug/taxe-acces-buzau" TargetMode="External"/><Relationship Id="rId331" Type="http://schemas.openxmlformats.org/officeDocument/2006/relationships/hyperlink" Target="https://www.bursatransport.com/info/access/viewarticle/slug/taxe-acces-buzau" TargetMode="External"/><Relationship Id="rId332" Type="http://schemas.openxmlformats.org/officeDocument/2006/relationships/hyperlink" Target="https://www.bursatransport.com/info/access/viewarticle/slug/taxe-acces-buzau" TargetMode="External"/><Relationship Id="rId333" Type="http://schemas.openxmlformats.org/officeDocument/2006/relationships/hyperlink" Target="https://www.bursatransport.com/info/access/viewarticle/slug/taxe-acces-buzau" TargetMode="External"/><Relationship Id="rId334" Type="http://schemas.openxmlformats.org/officeDocument/2006/relationships/hyperlink" Target="https://www.bursatransport.com/info/access/viewarticle/slug/taxe-acces-buzau" TargetMode="External"/><Relationship Id="rId335" Type="http://schemas.openxmlformats.org/officeDocument/2006/relationships/hyperlink" Target="https://www.bursatransport.com/info/access/viewarticle/slug/taxe-acces-buzau" TargetMode="External"/><Relationship Id="rId336" Type="http://schemas.openxmlformats.org/officeDocument/2006/relationships/hyperlink" Target="https://www.bursatransport.com/info/access/viewarticle/slug/taxe-acces-buzau" TargetMode="External"/><Relationship Id="rId337" Type="http://schemas.openxmlformats.org/officeDocument/2006/relationships/hyperlink" Target="https://www.bursatransport.com/info/access/viewarticle/slug/taxe-acces-buzau" TargetMode="External"/><Relationship Id="rId338" Type="http://schemas.openxmlformats.org/officeDocument/2006/relationships/hyperlink" Target="https://www.bursatransport.com/info/access/viewarticle/slug/taxe-acces-buzau" TargetMode="External"/><Relationship Id="rId339" Type="http://schemas.openxmlformats.org/officeDocument/2006/relationships/hyperlink" Target="https://www.bursatransport.com/info/access/viewarticle/slug/taxe-acces-buzau" TargetMode="External"/><Relationship Id="rId340" Type="http://schemas.openxmlformats.org/officeDocument/2006/relationships/hyperlink" Target="https://se.primariaresita.ro/cmsSE/acte-necesare-primaria-resita/autorizatie-liber-acces" TargetMode="External"/><Relationship Id="rId341" Type="http://schemas.openxmlformats.org/officeDocument/2006/relationships/hyperlink" Target="https://actualdecluj.ro/interdictia-de-a-circula-prin-cluj-napoca-pentru-traficul-greu-de-trazit-intra-in-vigoare-la-finalul-saptamanii-explicatiile-primarului-emil-boc/" TargetMode="External"/><Relationship Id="rId342" Type="http://schemas.openxmlformats.org/officeDocument/2006/relationships/hyperlink" Target="https://e-primariaclujnapoca.ro/plationline_v2/_autlib/" TargetMode="External"/><Relationship Id="rId343" Type="http://schemas.openxmlformats.org/officeDocument/2006/relationships/hyperlink" Target="https://pressone.ro/poluare-contra-cost-dupa-ce-s-a-laudat-ca-face-orasul-respirabil-primaria-cluj-a-dat-drumul-camioanelor-in-trafic-pentru-sume-derizorii" TargetMode="External"/><Relationship Id="rId344" Type="http://schemas.openxmlformats.org/officeDocument/2006/relationships/hyperlink" Target="https://actualdecluj.ro/traficul-greu-cu-autorizatii-pe-tot-anul-au-in-continuare-dreptul-sa-circule-prin-cluj-napoca-restirctia-pentru-traficul-greu-a-intrat-in-vigoare-primaria-elibereaza-autorizatii-de-libera-trecere-doar/" TargetMode="External"/><Relationship Id="rId345" Type="http://schemas.openxmlformats.org/officeDocument/2006/relationships/hyperlink" Target="https://actualdecluj.ro/traficul-greu-cu-autorizatii-pe-tot-anul-au-in-continuare-dreptul-sa-circule-prin-cluj-napoca-restirctia-pentru-traficul-greu-a-intrat-in-vigoare-primaria-elibereaza-autorizatii-de-libera-trecere-doar/" TargetMode="External"/><Relationship Id="rId346" Type="http://schemas.openxmlformats.org/officeDocument/2006/relationships/hyperlink" Target="https://actualdecluj.ro/?p=272076" TargetMode="External"/><Relationship Id="rId347" Type="http://schemas.openxmlformats.org/officeDocument/2006/relationships/hyperlink" Target="https://actualdecluj.ro/?p=272076" TargetMode="External"/><Relationship Id="rId348" Type="http://schemas.openxmlformats.org/officeDocument/2006/relationships/hyperlink" Target="https://actualdecluj.ro/?p=272076" TargetMode="External"/><Relationship Id="rId349" Type="http://schemas.openxmlformats.org/officeDocument/2006/relationships/hyperlink" Target="https://actualdecluj.ro/?p=272076" TargetMode="External"/><Relationship Id="rId350" Type="http://schemas.openxmlformats.org/officeDocument/2006/relationships/hyperlink" Target="https://www.spit-ct.ro/obligatii-fiscale-persoane-juridice/" TargetMode="External"/><Relationship Id="rId351" Type="http://schemas.openxmlformats.org/officeDocument/2006/relationships/hyperlink" Target="https://sfantugheorgheinfo.ro/uploads/hcl-416-anexa-1760604306.pdf" TargetMode="External"/><Relationship Id="rId352" Type="http://schemas.openxmlformats.org/officeDocument/2006/relationships/hyperlink" Target="https://sfantugheorgheinfo.ro/uploads/hcl-416-anexa-1760604306.pdf" TargetMode="External"/><Relationship Id="rId353" Type="http://schemas.openxmlformats.org/officeDocument/2006/relationships/hyperlink" Target="https://sfantugheorgheinfo.ro/uploads/hcl-416-anexa-1760604306.pdf" TargetMode="External"/><Relationship Id="rId354" Type="http://schemas.openxmlformats.org/officeDocument/2006/relationships/hyperlink" Target="https://sfantugheorgheinfo.ro/uploads/hcl-416-anexa-1760604306.pdf" TargetMode="External"/><Relationship Id="rId355" Type="http://schemas.openxmlformats.org/officeDocument/2006/relationships/hyperlink" Target="https://sfantugheorgheinfo.ro/uploads/hcl-416-anexa-1760604306.pdf" TargetMode="External"/><Relationship Id="rId356" Type="http://schemas.openxmlformats.org/officeDocument/2006/relationships/hyperlink" Target="https://sfantugheorgheinfo.ro/uploads/hcl-416-anexa-1760604306.pdf" TargetMode="External"/><Relationship Id="rId357" Type="http://schemas.openxmlformats.org/officeDocument/2006/relationships/hyperlink" Target="https://sfantugheorgheinfo.ro/uploads/hcl-416-anexa-1760604306.pdf" TargetMode="External"/><Relationship Id="rId358" Type="http://schemas.openxmlformats.org/officeDocument/2006/relationships/hyperlink" Target="https://sfantugheorgheinfo.ro/uploads/hcl-416-anexa-1760604306.pdf" TargetMode="External"/><Relationship Id="rId359" Type="http://schemas.openxmlformats.org/officeDocument/2006/relationships/hyperlink" Target="https://sfantugheorgheinfo.ro/uploads/hcl-416-anexa-1760604306.pdf" TargetMode="External"/><Relationship Id="rId360" Type="http://schemas.openxmlformats.org/officeDocument/2006/relationships/hyperlink" Target="https://sfantugheorgheinfo.ro/uploads/hcl-416-anexa-1760604306.pdf" TargetMode="External"/><Relationship Id="rId361" Type="http://schemas.openxmlformats.org/officeDocument/2006/relationships/hyperlink" Target="https://sfantugheorgheinfo.ro/uploads/hcl-416-anexa-1760604306.pdf" TargetMode="External"/><Relationship Id="rId362" Type="http://schemas.openxmlformats.org/officeDocument/2006/relationships/hyperlink" Target="https://sfantugheorgheinfo.ro/uploads/hcl-416-anexa-1760604306.pdf" TargetMode="External"/><Relationship Id="rId363" Type="http://schemas.openxmlformats.org/officeDocument/2006/relationships/hyperlink" Target="https://sfantugheorgheinfo.ro/uploads/hcl-416-anexa-1760604306.pdf" TargetMode="External"/><Relationship Id="rId364" Type="http://schemas.openxmlformats.org/officeDocument/2006/relationships/hyperlink" Target="https://sfantugheorgheinfo.ro/uploads/hcl-416-anexa-1760604306.pdf" TargetMode="External"/><Relationship Id="rId365" Type="http://schemas.openxmlformats.org/officeDocument/2006/relationships/hyperlink" Target="https://primariacalarasi.ro/directiile-primariei/transport-public-local/" TargetMode="External"/><Relationship Id="rId366" Type="http://schemas.openxmlformats.org/officeDocument/2006/relationships/hyperlink" Target="https://www.primariacraiova.ro/ro/info/695f66f69d9cc811193031.pdf" TargetMode="External"/><Relationship Id="rId367" Type="http://schemas.openxmlformats.org/officeDocument/2006/relationships/hyperlink" Target="https://www.pmtgv.ro/DAPPP/2025/INFORMARE%20%20PRIVIND%20TRANZITUL%20PRIN%20MUN%20TARGOVISTE%20SI%20TAXE%20LIBERA%20TRECERE%20PE%20ANUL%202025%20.pdf" TargetMode="External"/><Relationship Id="rId368" Type="http://schemas.openxmlformats.org/officeDocument/2006/relationships/hyperlink" Target="https://www.pmtgv.ro/DAPPP/2025/INFORMARE%20%20PRIVIND%20TRANZITUL%20PRIN%20MUN%20TARGOVISTE%20SI%20TAXE%20LIBERA%20TRECERE%20PE%20ANUL%202025%20.pdf" TargetMode="External"/><Relationship Id="rId369" Type="http://schemas.openxmlformats.org/officeDocument/2006/relationships/hyperlink" Target="https://www.pmtgv.ro/DAPPP/2025/INFORMARE%20%20PRIVIND%20TRANZITUL%20PRIN%20MUN%20TARGOVISTE%20SI%20TAXE%20LIBERA%20TRECERE%20PE%20ANUL%202025%20.pdf" TargetMode="External"/><Relationship Id="rId370" Type="http://schemas.openxmlformats.org/officeDocument/2006/relationships/hyperlink" Target="https://www.pmtgv.ro/DAPPP/2025/INFORMARE%20%20PRIVIND%20TRANZITUL%20PRIN%20MUN%20TARGOVISTE%20SI%20TAXE%20LIBERA%20TRECERE%20PE%20ANUL%202025%20.pdf" TargetMode="External"/><Relationship Id="rId371" Type="http://schemas.openxmlformats.org/officeDocument/2006/relationships/hyperlink" Target="https://www.pmtgv.ro/DAPPP/2025/INFORMARE%20%20PRIVIND%20TRANZITUL%20PRIN%20MUN%20TARGOVISTE%20SI%20TAXE%20LIBERA%20TRECERE%20PE%20ANUL%202025%20.pdf" TargetMode="External"/><Relationship Id="rId372" Type="http://schemas.openxmlformats.org/officeDocument/2006/relationships/hyperlink" Target="https://www.pmtgv.ro/DAPPP/2025/INFORMARE%20%20PRIVIND%20TRANZITUL%20PRIN%20MUN%20TARGOVISTE%20SI%20TAXE%20LIBERA%20TRECERE%20PE%20ANUL%202025%20.pdf" TargetMode="External"/><Relationship Id="rId373" Type="http://schemas.openxmlformats.org/officeDocument/2006/relationships/hyperlink" Target="https://www.pmtgv.ro/DAPPP/2025/INFORMARE%20%20PRIVIND%20TRANZITUL%20PRIN%20MUN%20TARGOVISTE%20SI%20TAXE%20LIBERA%20TRECERE%20PE%20ANUL%202025%20.pdf" TargetMode="External"/><Relationship Id="rId374" Type="http://schemas.openxmlformats.org/officeDocument/2006/relationships/hyperlink" Target="https://www.pmtgv.ro/DAPPP/2025/INFORMARE%20%20PRIVIND%20TRANZITUL%20PRIN%20MUN%20TARGOVISTE%20SI%20TAXE%20LIBERA%20TRECERE%20PE%20ANUL%202025%20.pdf" TargetMode="External"/><Relationship Id="rId375" Type="http://schemas.openxmlformats.org/officeDocument/2006/relationships/hyperlink" Target="https://www.primariagalati.ro/portal/act/reg_auto2014.pdf" TargetMode="External"/><Relationship Id="rId376" Type="http://schemas.openxmlformats.org/officeDocument/2006/relationships/hyperlink" Target="https://www.primariagalati.ro/portal/act/reg_auto2014.pdf" TargetMode="External"/><Relationship Id="rId377" Type="http://schemas.openxmlformats.org/officeDocument/2006/relationships/hyperlink" Target="https://www.primariagalati.ro/portal/act/reg_auto2014.pdf" TargetMode="External"/><Relationship Id="rId378" Type="http://schemas.openxmlformats.org/officeDocument/2006/relationships/hyperlink" Target="https://primariagiurgiu.ro/2017/05/taxa-speciala-de-libera-trecere-pentru-autovehiculele-cu-masa-mai-mare-de-75-tone-obligatorie-de-la-1-iunie/" TargetMode="External"/><Relationship Id="rId379" Type="http://schemas.openxmlformats.org/officeDocument/2006/relationships/hyperlink" Target="https://primariagiurgiu.ro/2017/05/taxa-speciala-de-libera-trecere-pentru-autovehiculele-cu-masa-mai-mare-de-75-tone-obligatorie-de-la-1-iunie/" TargetMode="External"/><Relationship Id="rId380" Type="http://schemas.openxmlformats.org/officeDocument/2006/relationships/hyperlink" Target="https://primariagiurgiu.ro/2017/05/taxa-speciala-de-libera-trecere-pentru-autovehiculele-cu-masa-mai-mare-de-75-tone-obligatorie-de-la-1-iunie/" TargetMode="External"/><Relationship Id="rId381" Type="http://schemas.openxmlformats.org/officeDocument/2006/relationships/hyperlink" Target="https://primariagiurgiu.ro/2017/05/taxa-speciala-de-libera-trecere-pentru-autovehiculele-cu-masa-mai-mare-de-75-tone-obligatorie-de-la-1-iunie/" TargetMode="External"/><Relationship Id="rId382" Type="http://schemas.openxmlformats.org/officeDocument/2006/relationships/hyperlink" Target="https://primariagiurgiu.ro/2017/05/taxa-speciala-de-libera-trecere-pentru-autovehiculele-cu-masa-mai-mare-de-75-tone-obligatorie-de-la-1-iunie/" TargetMode="External"/><Relationship Id="rId383" Type="http://schemas.openxmlformats.org/officeDocument/2006/relationships/hyperlink" Target="https://primariagiurgiu.ro/2017/05/taxa-speciala-de-libera-trecere-pentru-autovehiculele-cu-masa-mai-mare-de-75-tone-obligatorie-de-la-1-iunie/" TargetMode="External"/><Relationship Id="rId384" Type="http://schemas.openxmlformats.org/officeDocument/2006/relationships/hyperlink" Target="https://www.targujiu.ro/" TargetMode="External"/><Relationship Id="rId385" Type="http://schemas.openxmlformats.org/officeDocument/2006/relationships/hyperlink" Target="https://miercureaciuc.ro/ro/hotarari/2006/hotararea-nr-49/160" TargetMode="External"/><Relationship Id="rId386" Type="http://schemas.openxmlformats.org/officeDocument/2006/relationships/hyperlink" Target="https://miercureaciuc.ro/ro/hotarari/2006/hotararea-nr-49/160" TargetMode="External"/><Relationship Id="rId387" Type="http://schemas.openxmlformats.org/officeDocument/2006/relationships/hyperlink" Target="https://miercureaciuc.ro/ro/hotarari/2006/hotararea-nr-49/160" TargetMode="External"/><Relationship Id="rId388" Type="http://schemas.openxmlformats.org/officeDocument/2006/relationships/hyperlink" Target="https://miercureaciuc.ro/ro/hotarari/2006/hotararea-nr-49/160" TargetMode="External"/><Relationship Id="rId389" Type="http://schemas.openxmlformats.org/officeDocument/2006/relationships/hyperlink" Target="https://miercureaciuc.ro/ro/hotarari/2006/hotararea-nr-49/160" TargetMode="External"/><Relationship Id="rId390" Type="http://schemas.openxmlformats.org/officeDocument/2006/relationships/hyperlink" Target="https://miercureaciuc.ro/ro/hotarari/2006/hotararea-nr-49/160" TargetMode="External"/><Relationship Id="rId391" Type="http://schemas.openxmlformats.org/officeDocument/2006/relationships/hyperlink" Target="https://miercureaciuc.ro/ro/hotarari/2006/hotararea-nr-49/160" TargetMode="External"/><Relationship Id="rId392" Type="http://schemas.openxmlformats.org/officeDocument/2006/relationships/hyperlink" Target="https://miercureaciuc.ro/files/documents/file_b3c099c3e051f8.pdf" TargetMode="External"/><Relationship Id="rId393" Type="http://schemas.openxmlformats.org/officeDocument/2006/relationships/hyperlink" Target="https://autorizatii-tonaj.primariadeva.ro/" TargetMode="External"/><Relationship Id="rId394" Type="http://schemas.openxmlformats.org/officeDocument/2006/relationships/hyperlink" Target="https://autorizatii-tonaj.primariadeva.ro/" TargetMode="External"/><Relationship Id="rId395" Type="http://schemas.openxmlformats.org/officeDocument/2006/relationships/hyperlink" Target="https://autorizatii-tonaj.primariadeva.ro/" TargetMode="External"/><Relationship Id="rId396" Type="http://schemas.openxmlformats.org/officeDocument/2006/relationships/hyperlink" Target="https://autorizatii-tonaj.primariadeva.ro/" TargetMode="External"/><Relationship Id="rId397" Type="http://schemas.openxmlformats.org/officeDocument/2006/relationships/hyperlink" Target="https://autorizatii-tonaj.primariadeva.ro/" TargetMode="External"/><Relationship Id="rId398" Type="http://schemas.openxmlformats.org/officeDocument/2006/relationships/hyperlink" Target="https://autorizatii-tonaj.primariadeva.ro/" TargetMode="External"/><Relationship Id="rId399" Type="http://schemas.openxmlformats.org/officeDocument/2006/relationships/hyperlink" Target="https://autorizatii-tonaj.primariadeva.ro/" TargetMode="External"/><Relationship Id="rId400" Type="http://schemas.openxmlformats.org/officeDocument/2006/relationships/hyperlink" Target="https://autorizatii-tonaj.primariadeva.ro/" TargetMode="External"/><Relationship Id="rId401" Type="http://schemas.openxmlformats.org/officeDocument/2006/relationships/hyperlink" Target="https://autorizatii-tonaj.primariadeva.ro/" TargetMode="External"/><Relationship Id="rId402" Type="http://schemas.openxmlformats.org/officeDocument/2006/relationships/hyperlink" Target="https://autorizatii-tonaj.primariadeva.ro/" TargetMode="External"/><Relationship Id="rId403" Type="http://schemas.openxmlformats.org/officeDocument/2006/relationships/hyperlink" Target="https://autorizatii-tonaj.primariadeva.ro/" TargetMode="External"/><Relationship Id="rId404" Type="http://schemas.openxmlformats.org/officeDocument/2006/relationships/hyperlink" Target="https://autorizatii-tonaj.primariadeva.ro/" TargetMode="External"/><Relationship Id="rId405" Type="http://schemas.openxmlformats.org/officeDocument/2006/relationships/hyperlink" Target="https://autorizatii-tonaj.primariadeva.ro/" TargetMode="External"/><Relationship Id="rId406" Type="http://schemas.openxmlformats.org/officeDocument/2006/relationships/hyperlink" Target="https://autorizatii-tonaj.primariadeva.ro/" TargetMode="External"/><Relationship Id="rId407" Type="http://schemas.openxmlformats.org/officeDocument/2006/relationships/hyperlink" Target="https://autorizatii-tonaj.primariadeva.ro/" TargetMode="External"/><Relationship Id="rId408" Type="http://schemas.openxmlformats.org/officeDocument/2006/relationships/hyperlink" Target="https://www.sloboziail.ro/" TargetMode="External"/><Relationship Id="rId409" Type="http://schemas.openxmlformats.org/officeDocument/2006/relationships/hyperlink" Target="https://www.bzi.ro/transportatorii-de-marfuri-au-intrat-in-atentia-politistilor-s-au-facut-verificari-pe-mai-multe-strazi-din-oras-5326261" TargetMode="External"/><Relationship Id="rId410" Type="http://schemas.openxmlformats.org/officeDocument/2006/relationships/hyperlink" Target="https://www.bzi.ro/transportatorii-de-marfuri-au-intrat-in-atentia-politistilor-s-au-facut-verificari-pe-mai-multe-strazi-din-oras-5326261" TargetMode="External"/><Relationship Id="rId411" Type="http://schemas.openxmlformats.org/officeDocument/2006/relationships/hyperlink" Target="https://www.bzi.ro/transportatorii-de-marfuri-au-intrat-in-atentia-politistilor-s-au-facut-verificari-pe-mai-multe-strazi-din-oras-5326261" TargetMode="External"/><Relationship Id="rId412" Type="http://schemas.openxmlformats.org/officeDocument/2006/relationships/hyperlink" Target="https://economedia.ro/?p=238921" TargetMode="External"/><Relationship Id="rId413" Type="http://schemas.openxmlformats.org/officeDocument/2006/relationships/hyperlink" Target="https://apix.ro/wp-content/uploads/2025/02/02-Regulament-permis-libera-trecere.pdf" TargetMode="External"/><Relationship Id="rId414" Type="http://schemas.openxmlformats.org/officeDocument/2006/relationships/hyperlink" Target="https://apix.ro/wp-content/uploads/2025/02/02-Regulament-permis-libera-trecere.pdf" TargetMode="External"/><Relationship Id="rId415" Type="http://schemas.openxmlformats.org/officeDocument/2006/relationships/hyperlink" Target="https://apix.ro/wp-content/uploads/2025/02/02-Regulament-permis-libera-trecere.pdf" TargetMode="External"/><Relationship Id="rId416" Type="http://schemas.openxmlformats.org/officeDocument/2006/relationships/hyperlink" Target="https://apix.ro/wp-content/uploads/2025/02/02-Regulament-permis-libera-trecere.pdf" TargetMode="External"/><Relationship Id="rId417" Type="http://schemas.openxmlformats.org/officeDocument/2006/relationships/hyperlink" Target="https://apix.ro/wp-content/uploads/2025/02/02-Regulament-permis-libera-trecere.pdf" TargetMode="External"/><Relationship Id="rId418" Type="http://schemas.openxmlformats.org/officeDocument/2006/relationships/hyperlink" Target="https://apix.ro/wp-content/uploads/2025/02/02-Regulament-permis-libera-trecere.pdf" TargetMode="External"/><Relationship Id="rId419" Type="http://schemas.openxmlformats.org/officeDocument/2006/relationships/hyperlink" Target="https://apix.ro/wp-content/uploads/2025/02/02-Regulament-permis-libera-trecere.pdf" TargetMode="External"/><Relationship Id="rId420" Type="http://schemas.openxmlformats.org/officeDocument/2006/relationships/hyperlink" Target="https://apix.ro/wp-content/uploads/2025/02/02-Regulament-permis-libera-trecere.pdf" TargetMode="External"/><Relationship Id="rId421" Type="http://schemas.openxmlformats.org/officeDocument/2006/relationships/hyperlink" Target="https://apix.ro/wp-content/uploads/2025/02/02-Regulament-permis-libera-trecere.pdf" TargetMode="External"/><Relationship Id="rId422" Type="http://schemas.openxmlformats.org/officeDocument/2006/relationships/hyperlink" Target="https://www.bursatransport.com/info/access/viewarticle/slug/taxe-acces-baia-mare" TargetMode="External"/><Relationship Id="rId423" Type="http://schemas.openxmlformats.org/officeDocument/2006/relationships/hyperlink" Target="https://www.bursatransport.com/info/access/viewarticle/slug/taxe-acces-baia-mare" TargetMode="External"/><Relationship Id="rId424" Type="http://schemas.openxmlformats.org/officeDocument/2006/relationships/hyperlink" Target="https://www.bursatransport.com/info/access/viewarticle/slug/taxe-acces-baia-mare" TargetMode="External"/><Relationship Id="rId425" Type="http://schemas.openxmlformats.org/officeDocument/2006/relationships/hyperlink" Target="https://www.bursatransport.com/info/access/viewarticle/slug/taxe-acces-baia-mare" TargetMode="External"/><Relationship Id="rId426" Type="http://schemas.openxmlformats.org/officeDocument/2006/relationships/hyperlink" Target="https://www.bursatransport.com/info/access/viewarticle/slug/taxe-acces-baia-mare" TargetMode="External"/><Relationship Id="rId427" Type="http://schemas.openxmlformats.org/officeDocument/2006/relationships/hyperlink" Target="https://www.bursatransport.com/info/access/viewarticle/slug/taxe-acces-baia-mare" TargetMode="External"/><Relationship Id="rId428" Type="http://schemas.openxmlformats.org/officeDocument/2006/relationships/hyperlink" Target="https://www.bursatransport.com/info/access/viewarticle/slug/taxe-acces-baia-mare" TargetMode="External"/><Relationship Id="rId429" Type="http://schemas.openxmlformats.org/officeDocument/2006/relationships/hyperlink" Target="https://www.bursatransport.com/info/access/viewarticle/slug/taxe-acces-baia-mare" TargetMode="External"/><Relationship Id="rId430" Type="http://schemas.openxmlformats.org/officeDocument/2006/relationships/hyperlink" Target="https://www.bursatransport.com/info/access/viewarticle/slug/taxe-acces-baia-mare" TargetMode="External"/><Relationship Id="rId431" Type="http://schemas.openxmlformats.org/officeDocument/2006/relationships/hyperlink" Target="https://www.bursatransport.com/info/access/viewarticle/slug/taxe-acces-baia-mare" TargetMode="External"/><Relationship Id="rId432" Type="http://schemas.openxmlformats.org/officeDocument/2006/relationships/hyperlink" Target="https://www.bursatransport.com/info/access/viewarticle/slug/taxe-acces-baia-mare" TargetMode="External"/><Relationship Id="rId433" Type="http://schemas.openxmlformats.org/officeDocument/2006/relationships/hyperlink" Target="https://www.bursatransport.com/info/access/viewarticle/slug/taxe-acces-baia-mare" TargetMode="External"/><Relationship Id="rId434" Type="http://schemas.openxmlformats.org/officeDocument/2006/relationships/hyperlink" Target="https://www.bursatransport.com/info/access/viewarticle/slug/taxe-acces-baia-mare" TargetMode="External"/><Relationship Id="rId435" Type="http://schemas.openxmlformats.org/officeDocument/2006/relationships/hyperlink" Target="https://www.bursatransport.com/info/access/viewarticle/slug/taxe-acces-baia-mare" TargetMode="External"/><Relationship Id="rId436" Type="http://schemas.openxmlformats.org/officeDocument/2006/relationships/hyperlink" Target="https://www.bursatransport.com/info/access/viewarticle/slug/taxe-acces-baia-mare" TargetMode="External"/><Relationship Id="rId437" Type="http://schemas.openxmlformats.org/officeDocument/2006/relationships/hyperlink" Target="https://www.bursatransport.com/info/access/viewarticle/slug/taxe-acces-baia-mare" TargetMode="External"/><Relationship Id="rId438" Type="http://schemas.openxmlformats.org/officeDocument/2006/relationships/hyperlink" Target="https://www.bursatransport.com/info/access/viewarticle/slug/taxe-acces-baia-mare" TargetMode="External"/><Relationship Id="rId439" Type="http://schemas.openxmlformats.org/officeDocument/2006/relationships/hyperlink" Target="https://www.bursatransport.com/info/access/viewarticle/slug/taxe-acces-baia-mare" TargetMode="External"/><Relationship Id="rId440" Type="http://schemas.openxmlformats.org/officeDocument/2006/relationships/hyperlink" Target="https://www.bursatransport.com/info/access/viewarticle/slug/taxe-acces-baia-mare" TargetMode="External"/><Relationship Id="rId441" Type="http://schemas.openxmlformats.org/officeDocument/2006/relationships/hyperlink" Target="https://www.bursatransport.com/info/access/viewarticle/slug/taxe-acces-baia-mare" TargetMode="External"/><Relationship Id="rId442" Type="http://schemas.openxmlformats.org/officeDocument/2006/relationships/hyperlink" Target="https://www.bursatransport.com/info/access/viewarticle/slug/taxe-acces-baia-mare" TargetMode="External"/><Relationship Id="rId443" Type="http://schemas.openxmlformats.org/officeDocument/2006/relationships/hyperlink" Target="https://www.bursatransport.com/info/access/viewarticle/slug/taxe-acces-baia-mare" TargetMode="External"/><Relationship Id="rId444" Type="http://schemas.openxmlformats.org/officeDocument/2006/relationships/hyperlink" Target="https://www.globalpay.ro/baiamare/eAccesAuto/public/Autorizatii/adaugare" TargetMode="External"/><Relationship Id="rId445" Type="http://schemas.openxmlformats.org/officeDocument/2006/relationships/hyperlink" Target="https://www.bursatransport.com/info/access/viewarticle/slug/taxe-acces-drobeta-turnu-severin" TargetMode="External"/><Relationship Id="rId446" Type="http://schemas.openxmlformats.org/officeDocument/2006/relationships/hyperlink" Target="https://www.bursatransport.com/info/access/viewarticle/slug/taxe-acces-drobeta-turnu-severin" TargetMode="External"/><Relationship Id="rId447" Type="http://schemas.openxmlformats.org/officeDocument/2006/relationships/hyperlink" Target="https://www.bursatransport.com/info/access/viewarticle/slug/taxe-acces-drobeta-turnu-severin" TargetMode="External"/><Relationship Id="rId448" Type="http://schemas.openxmlformats.org/officeDocument/2006/relationships/hyperlink" Target="https://www.bursatransport.com/info/access/viewarticle/slug/taxe-acces-drobeta-turnu-severin" TargetMode="External"/><Relationship Id="rId449" Type="http://schemas.openxmlformats.org/officeDocument/2006/relationships/hyperlink" Target="https://www.bursatransport.com/info/access/viewarticle/slug/taxe-acces-drobeta-turnu-severin" TargetMode="External"/><Relationship Id="rId450" Type="http://schemas.openxmlformats.org/officeDocument/2006/relationships/hyperlink" Target="https://www.bursatransport.com/info/access/viewarticle/slug/taxe-acces-drobeta-turnu-severin" TargetMode="External"/><Relationship Id="rId451" Type="http://schemas.openxmlformats.org/officeDocument/2006/relationships/hyperlink" Target="https://www.bursatransport.com/info/access/viewarticle/slug/taxe-acces-drobeta-turnu-severin" TargetMode="External"/><Relationship Id="rId452" Type="http://schemas.openxmlformats.org/officeDocument/2006/relationships/hyperlink" Target="https://www.bursatransport.com/info/access/viewarticle/slug/taxe-acces-drobeta-turnu-severin" TargetMode="External"/><Relationship Id="rId453" Type="http://schemas.openxmlformats.org/officeDocument/2006/relationships/hyperlink" Target="https://www.bursatransport.com/info/access/viewarticle/slug/taxe-acces-drobeta-turnu-severin" TargetMode="External"/><Relationship Id="rId454" Type="http://schemas.openxmlformats.org/officeDocument/2006/relationships/hyperlink" Target="https://adptgmures.ro/" TargetMode="External"/><Relationship Id="rId455" Type="http://schemas.openxmlformats.org/officeDocument/2006/relationships/hyperlink" Target="https://adptgmures.ro/" TargetMode="External"/><Relationship Id="rId456" Type="http://schemas.openxmlformats.org/officeDocument/2006/relationships/hyperlink" Target="https://adptgmures.ro/" TargetMode="External"/><Relationship Id="rId457" Type="http://schemas.openxmlformats.org/officeDocument/2006/relationships/hyperlink" Target="https://www.bursatransport.com/info/access/viewarticle/slug/taxe-acces-piatra-neamt" TargetMode="External"/><Relationship Id="rId458" Type="http://schemas.openxmlformats.org/officeDocument/2006/relationships/hyperlink" Target="https://www.bursatransport.com/info/access/viewarticle/slug/taxe-acces-piatra-neamt" TargetMode="External"/><Relationship Id="rId459" Type="http://schemas.openxmlformats.org/officeDocument/2006/relationships/hyperlink" Target="https://www.bursatransport.com/info/access/viewarticle/slug/taxe-acces-piatra-neamt" TargetMode="External"/><Relationship Id="rId460" Type="http://schemas.openxmlformats.org/officeDocument/2006/relationships/hyperlink" Target="https://www.bursatransport.com/info/access/viewarticle/slug/taxe-acces-piatra-neamt" TargetMode="External"/><Relationship Id="rId461" Type="http://schemas.openxmlformats.org/officeDocument/2006/relationships/hyperlink" Target="https://www.bursatransport.com/info/access/viewarticle/slug/taxe-acces-piatra-neamt" TargetMode="External"/><Relationship Id="rId462" Type="http://schemas.openxmlformats.org/officeDocument/2006/relationships/hyperlink" Target="https://www.bursatransport.com/info/access/viewarticle/slug/taxe-acces-piatra-neamt" TargetMode="External"/><Relationship Id="rId463" Type="http://schemas.openxmlformats.org/officeDocument/2006/relationships/hyperlink" Target="https://www.bursatransport.com/info/access/viewarticle/slug/taxe-acces-piatra-neamt" TargetMode="External"/><Relationship Id="rId464" Type="http://schemas.openxmlformats.org/officeDocument/2006/relationships/hyperlink" Target="https://www.bursatransport.com/info/access/viewarticle/slug/taxe-acces-piatra-neamt" TargetMode="External"/><Relationship Id="rId465" Type="http://schemas.openxmlformats.org/officeDocument/2006/relationships/hyperlink" Target="https://www.bursatransport.com/info/access/viewarticle/slug/taxe-acces-piatra-neamt" TargetMode="External"/><Relationship Id="rId466" Type="http://schemas.openxmlformats.org/officeDocument/2006/relationships/hyperlink" Target="https://www.bursatransport.com/info/access/viewarticle/slug/taxe-acces-piatra-neamt" TargetMode="External"/><Relationship Id="rId467" Type="http://schemas.openxmlformats.org/officeDocument/2006/relationships/hyperlink" Target="https://www.bursatransport.com/info/access/viewarticle/slug/taxe-acces-piatra-neamt" TargetMode="External"/><Relationship Id="rId468" Type="http://schemas.openxmlformats.org/officeDocument/2006/relationships/hyperlink" Target="https://www.bursatransport.com/info/access/viewarticle/slug/taxe-acces-piatra-neamt" TargetMode="External"/><Relationship Id="rId469" Type="http://schemas.openxmlformats.org/officeDocument/2006/relationships/hyperlink" Target="https://www.bursatransport.com/info/access/viewarticle/slug/taxe-acces-piatra-neamt" TargetMode="External"/><Relationship Id="rId470" Type="http://schemas.openxmlformats.org/officeDocument/2006/relationships/hyperlink" Target="https://www.bursatransport.com/info/access/viewarticle/slug/taxe-acces-piatra-neamt" TargetMode="External"/><Relationship Id="rId471" Type="http://schemas.openxmlformats.org/officeDocument/2006/relationships/hyperlink" Target="https://www.bursatransport.com/info/access/viewarticle/slug/taxe-acces-piatra-neamt" TargetMode="External"/><Relationship Id="rId472" Type="http://schemas.openxmlformats.org/officeDocument/2006/relationships/hyperlink" Target="http://www.primariaslatina.ro/" TargetMode="External"/><Relationship Id="rId473" Type="http://schemas.openxmlformats.org/officeDocument/2006/relationships/hyperlink" Target="https://ploiesti.ro/hotarari/hcl-131-2011/" TargetMode="External"/><Relationship Id="rId474" Type="http://schemas.openxmlformats.org/officeDocument/2006/relationships/hyperlink" Target="https://ploiesti.ro/hotarari/hcl-131-2011/" TargetMode="External"/><Relationship Id="rId475" Type="http://schemas.openxmlformats.org/officeDocument/2006/relationships/hyperlink" Target="https://ploiesti.ro/hotarari/hcl-131-2011/" TargetMode="External"/><Relationship Id="rId476" Type="http://schemas.openxmlformats.org/officeDocument/2006/relationships/hyperlink" Target="https://ploiesti.ro/hotarari/hcl-131-2011/" TargetMode="External"/><Relationship Id="rId477" Type="http://schemas.openxmlformats.org/officeDocument/2006/relationships/hyperlink" Target="https://tir.primariasm.ro/assets/frontend/pdf/Regulament.pdf" TargetMode="External"/><Relationship Id="rId478" Type="http://schemas.openxmlformats.org/officeDocument/2006/relationships/hyperlink" Target="https://tir.primariasm.ro/assets/frontend/pdf/Regulament.pdf" TargetMode="External"/><Relationship Id="rId479" Type="http://schemas.openxmlformats.org/officeDocument/2006/relationships/hyperlink" Target="https://tir.primariasm.ro/assets/frontend/pdf/Regulament.pdf" TargetMode="External"/><Relationship Id="rId480" Type="http://schemas.openxmlformats.org/officeDocument/2006/relationships/hyperlink" Target="https://tir.primariasm.ro/assets/frontend/pdf/Regulament.pdf" TargetMode="External"/><Relationship Id="rId481" Type="http://schemas.openxmlformats.org/officeDocument/2006/relationships/hyperlink" Target="https://tir.primariasm.ro/assets/frontend/pdf/Regulament.pdf" TargetMode="External"/><Relationship Id="rId482" Type="http://schemas.openxmlformats.org/officeDocument/2006/relationships/hyperlink" Target="https://tir.primariasm.ro/assets/frontend/pdf/Regulament.pdf" TargetMode="External"/><Relationship Id="rId483" Type="http://schemas.openxmlformats.org/officeDocument/2006/relationships/hyperlink" Target="https://tir.primariasm.ro/assets/frontend/pdf/Regulament.pdf" TargetMode="External"/><Relationship Id="rId484" Type="http://schemas.openxmlformats.org/officeDocument/2006/relationships/hyperlink" Target="https://tir.primariasm.ro/assets/frontend/pdf/Regulament.pdf" TargetMode="External"/><Relationship Id="rId485" Type="http://schemas.openxmlformats.org/officeDocument/2006/relationships/hyperlink" Target="https://tir.primariasm.ro/assets/frontend/pdf/Regulament.pdf" TargetMode="External"/><Relationship Id="rId486" Type="http://schemas.openxmlformats.org/officeDocument/2006/relationships/hyperlink" Target="https://tir.primariasm.ro/assets/frontend/pdf/Regulament.pdf" TargetMode="External"/><Relationship Id="rId487" Type="http://schemas.openxmlformats.org/officeDocument/2006/relationships/hyperlink" Target="https://tir.primariasm.ro/assets/frontend/pdf/Regulament.pdf" TargetMode="External"/><Relationship Id="rId488" Type="http://schemas.openxmlformats.org/officeDocument/2006/relationships/hyperlink" Target="https://tir.primariasm.ro/assets/frontend/pdf/Regulament.pdf" TargetMode="External"/><Relationship Id="rId489" Type="http://schemas.openxmlformats.org/officeDocument/2006/relationships/hyperlink" Target="https://tir.primariasm.ro/assets/frontend/pdf/Regulament.pdf" TargetMode="External"/><Relationship Id="rId490" Type="http://schemas.openxmlformats.org/officeDocument/2006/relationships/hyperlink" Target="https://tir.primariasm.ro/assets/frontend/pdf/Regulament.pdf" TargetMode="External"/><Relationship Id="rId491" Type="http://schemas.openxmlformats.org/officeDocument/2006/relationships/hyperlink" Target="https://tir.primariasm.ro/assets/frontend/pdf/Regulament.pdf" TargetMode="External"/><Relationship Id="rId492" Type="http://schemas.openxmlformats.org/officeDocument/2006/relationships/hyperlink" Target="https://tir.primariasm.ro/assets/frontend/pdf/Regulament.pdf" TargetMode="External"/><Relationship Id="rId493" Type="http://schemas.openxmlformats.org/officeDocument/2006/relationships/hyperlink" Target="https://tir.primariasm.ro/assets/frontend/pdf/Regulament.pdf" TargetMode="External"/><Relationship Id="rId494" Type="http://schemas.openxmlformats.org/officeDocument/2006/relationships/hyperlink" Target="https://tir.primariasm.ro/assets/frontend/pdf/Regulament.pdf" TargetMode="External"/><Relationship Id="rId495" Type="http://schemas.openxmlformats.org/officeDocument/2006/relationships/hyperlink" Target="https://tir.primariasm.ro/assets/frontend/pdf/Regulament.pdf" TargetMode="External"/><Relationship Id="rId496" Type="http://schemas.openxmlformats.org/officeDocument/2006/relationships/hyperlink" Target="https://tir.primariasm.ro/assets/frontend/pdf/Regulament.pdf" TargetMode="External"/><Relationship Id="rId497" Type="http://schemas.openxmlformats.org/officeDocument/2006/relationships/hyperlink" Target="https://tir.primariasm.ro/assets/frontend/pdf/Regulament.pdf" TargetMode="External"/><Relationship Id="rId498" Type="http://schemas.openxmlformats.org/officeDocument/2006/relationships/hyperlink" Target="https://www.primariasv.ro/dm_suceava/site.nsf/pagini/suceava+transport-0000A596" TargetMode="External"/><Relationship Id="rId499" Type="http://schemas.openxmlformats.org/officeDocument/2006/relationships/hyperlink" Target="https://www.primariasv.ro/dm_suceava/site.nsf/pagini/suceava+transport-0000A596" TargetMode="External"/><Relationship Id="rId500" Type="http://schemas.openxmlformats.org/officeDocument/2006/relationships/hyperlink" Target="https://www.primariasv.ro/dm_suceava/site.nsf/pagini/suceava+transport-0000A596" TargetMode="External"/><Relationship Id="rId501" Type="http://schemas.openxmlformats.org/officeDocument/2006/relationships/hyperlink" Target="https://www.primariasv.ro/dm_suceava/site.nsf/pagini/suceava+transport-0000A596" TargetMode="External"/><Relationship Id="rId502" Type="http://schemas.openxmlformats.org/officeDocument/2006/relationships/hyperlink" Target="https://www.primariasv.ro/dm_suceava/site.nsf/pagini/suceava+transport-0000A596" TargetMode="External"/><Relationship Id="rId503" Type="http://schemas.openxmlformats.org/officeDocument/2006/relationships/hyperlink" Target="https://www.primariasv.ro/dm_suceava/site.nsf/pagini/suceava+transport-0000A596" TargetMode="External"/><Relationship Id="rId504" Type="http://schemas.openxmlformats.org/officeDocument/2006/relationships/hyperlink" Target="https://www.primariasv.ro/dm_suceava/site.nsf/pagini/suceava+transport-0000A596" TargetMode="External"/><Relationship Id="rId505" Type="http://schemas.openxmlformats.org/officeDocument/2006/relationships/hyperlink" Target="https://www.primariasv.ro/dm_suceava/site.nsf/pagini/suceava+transport-0000A596" TargetMode="External"/><Relationship Id="rId506" Type="http://schemas.openxmlformats.org/officeDocument/2006/relationships/hyperlink" Target="https://www.primariasv.ro/dm_suceava/site.nsf/pagini/suceava+transport-0000A596" TargetMode="External"/><Relationship Id="rId507" Type="http://schemas.openxmlformats.org/officeDocument/2006/relationships/hyperlink" Target="https://www.primariasv.ro/dm_suceava/site.nsf/pagini/suceava+transport-0000A596" TargetMode="External"/><Relationship Id="rId508" Type="http://schemas.openxmlformats.org/officeDocument/2006/relationships/hyperlink" Target="https://www.zalausj.ro/ro/monitor/transparenta/reg_circ_vehicule.pdf" TargetMode="External"/><Relationship Id="rId509" Type="http://schemas.openxmlformats.org/officeDocument/2006/relationships/hyperlink" Target="https://www.zalausj.ro/ro/monitor/transparenta/reg_circ_vehicule.pdf" TargetMode="External"/><Relationship Id="rId510" Type="http://schemas.openxmlformats.org/officeDocument/2006/relationships/hyperlink" Target="https://www.zalausj.ro/ro/monitor/transparenta/reg_circ_vehicule.pdf" TargetMode="External"/><Relationship Id="rId511" Type="http://schemas.openxmlformats.org/officeDocument/2006/relationships/hyperlink" Target="https://www.zalausj.ro/ro/monitor/transparenta/reg_circ_vehicule.pdf" TargetMode="External"/><Relationship Id="rId512" Type="http://schemas.openxmlformats.org/officeDocument/2006/relationships/hyperlink" Target="https://www.zalausj.ro/ro/monitor/transparenta/reg_circ_vehicule.pdf" TargetMode="External"/><Relationship Id="rId513" Type="http://schemas.openxmlformats.org/officeDocument/2006/relationships/hyperlink" Target="https://www.zalausj.ro/ro/monitor/transparenta/reg_circ_vehicule.pdf" TargetMode="External"/><Relationship Id="rId514" Type="http://schemas.openxmlformats.org/officeDocument/2006/relationships/hyperlink" Target="https://www.zalausj.ro/ro/monitor/transparenta/reg_circ_vehicule.pdf" TargetMode="External"/><Relationship Id="rId515" Type="http://schemas.openxmlformats.org/officeDocument/2006/relationships/hyperlink" Target="https://www.zalausj.ro/ro/monitor/transparenta/reg_circ_vehicule.pdf" TargetMode="External"/><Relationship Id="rId516" Type="http://schemas.openxmlformats.org/officeDocument/2006/relationships/hyperlink" Target="https://www.zalausj.ro/ro/monitor/transparenta/reg_circ_vehicule.pdf" TargetMode="External"/><Relationship Id="rId517" Type="http://schemas.openxmlformats.org/officeDocument/2006/relationships/hyperlink" Target="https://www.zalausj.ro/ro/monitor/transparenta/reg_circ_vehicule.pdf" TargetMode="External"/><Relationship Id="rId518" Type="http://schemas.openxmlformats.org/officeDocument/2006/relationships/hyperlink" Target="https://www.zalausj.ro/ro/monitor/transparenta/reg_circ_vehicule.pdf" TargetMode="External"/><Relationship Id="rId519" Type="http://schemas.openxmlformats.org/officeDocument/2006/relationships/hyperlink" Target="https://www.zalausj.ro/ro/monitor/transparenta/reg_circ_vehicule.pdf" TargetMode="External"/><Relationship Id="rId520" Type="http://schemas.openxmlformats.org/officeDocument/2006/relationships/hyperlink" Target="https://www.zalausj.ro/ro/monitor/transparenta/reg_circ_vehicule.pdf" TargetMode="External"/><Relationship Id="rId521" Type="http://schemas.openxmlformats.org/officeDocument/2006/relationships/hyperlink" Target="https://www.zalausj.ro/ro/monitor/transparenta/reg_circ_vehicule.pdf" TargetMode="External"/><Relationship Id="rId522" Type="http://schemas.openxmlformats.org/officeDocument/2006/relationships/hyperlink" Target="https://www.zalausj.ro/ro/monitor/transparenta/reg_circ_vehicule.pdf" TargetMode="External"/><Relationship Id="rId523" Type="http://schemas.openxmlformats.org/officeDocument/2006/relationships/hyperlink" Target="https://alexandria.ro/" TargetMode="External"/><Relationship Id="rId524" Type="http://schemas.openxmlformats.org/officeDocument/2006/relationships/hyperlink" Target="https://agerpres.ro/comunicate/2026/08/04/comunicat-de-presa---politia-locala-timisoara--1581984" TargetMode="External"/><Relationship Id="rId525" Type="http://schemas.openxmlformats.org/officeDocument/2006/relationships/hyperlink" Target="https://agerpres.ro/comunicate/2026/08/04/comunicat-de-presa---politia-locala-timisoara--1581984" TargetMode="External"/><Relationship Id="rId526" Type="http://schemas.openxmlformats.org/officeDocument/2006/relationships/hyperlink" Target="https://assets.primariatm.ro/883c77ad-bfd7-4d46-817a-823c05d3c322.pdf" TargetMode="External"/><Relationship Id="rId527" Type="http://schemas.openxmlformats.org/officeDocument/2006/relationships/hyperlink" Target="https://www.primariatulcea.ro/noutati/liberatrecere/" TargetMode="External"/><Relationship Id="rId528" Type="http://schemas.openxmlformats.org/officeDocument/2006/relationships/hyperlink" Target="https://www.primariatulcea.ro/noutati/liberatrecere/" TargetMode="External"/><Relationship Id="rId529" Type="http://schemas.openxmlformats.org/officeDocument/2006/relationships/hyperlink" Target="https://www.primariatulcea.ro/noutati/liberatrecere/" TargetMode="External"/><Relationship Id="rId530" Type="http://schemas.openxmlformats.org/officeDocument/2006/relationships/hyperlink" Target="https://www.primariatulcea.ro/noutati/liberatrecere/" TargetMode="External"/><Relationship Id="rId531" Type="http://schemas.openxmlformats.org/officeDocument/2006/relationships/hyperlink" Target="https://www.primariatulcea.ro/noutati/liberatrecere/" TargetMode="External"/><Relationship Id="rId532" Type="http://schemas.openxmlformats.org/officeDocument/2006/relationships/hyperlink" Target="https://www.primariatulcea.ro/noutati/liberatrecere/" TargetMode="External"/><Relationship Id="rId533" Type="http://schemas.openxmlformats.org/officeDocument/2006/relationships/hyperlink" Target="https://www.primariatulcea.ro/noutati/liberatrecere/" TargetMode="External"/><Relationship Id="rId534" Type="http://schemas.openxmlformats.org/officeDocument/2006/relationships/hyperlink" Target="https://www.primariatulcea.ro/noutati/liberatrecere/" TargetMode="External"/><Relationship Id="rId535" Type="http://schemas.openxmlformats.org/officeDocument/2006/relationships/hyperlink" Target="https://www.primariatulcea.ro/noutati/liberatrecere/" TargetMode="External"/><Relationship Id="rId536" Type="http://schemas.openxmlformats.org/officeDocument/2006/relationships/hyperlink" Target="https://www.primariatulcea.ro/noutati/liberatrecere/" TargetMode="External"/><Relationship Id="rId537" Type="http://schemas.openxmlformats.org/officeDocument/2006/relationships/hyperlink" Target="https://www.primariatulcea.ro/noutati/liberatrecere/" TargetMode="External"/><Relationship Id="rId538" Type="http://schemas.openxmlformats.org/officeDocument/2006/relationships/hyperlink" Target="https://www.primariatulcea.ro/noutati/liberatrecere/" TargetMode="External"/><Relationship Id="rId539" Type="http://schemas.openxmlformats.org/officeDocument/2006/relationships/hyperlink" Target="https://www.primariatulcea.ro/noutati/liberatrecere/" TargetMode="External"/><Relationship Id="rId540" Type="http://schemas.openxmlformats.org/officeDocument/2006/relationships/hyperlink" Target="https://www.primariatulcea.ro/noutati/liberatrecere/" TargetMode="External"/><Relationship Id="rId541" Type="http://schemas.openxmlformats.org/officeDocument/2006/relationships/hyperlink" Target="https://www.primariatulcea.ro/noutati/liberatrecere/" TargetMode="External"/><Relationship Id="rId542" Type="http://schemas.openxmlformats.org/officeDocument/2006/relationships/hyperlink" Target="https://se.primariavaslui.ro/cmsSE/acte-necesare-primaria-vaslui/permis-de-libera-trecere-stationare-in-vederea-aprovizionarii" TargetMode="External"/><Relationship Id="rId543" Type="http://schemas.openxmlformats.org/officeDocument/2006/relationships/hyperlink" Target="https://www.focsani.info/fisiere/userfiles/proiecte%20act%20noirmativ/HOTARARE_ITL_2026.pdf" TargetMode="External"/><Relationship Id="rId544" Type="http://schemas.openxmlformats.org/officeDocument/2006/relationships/hyperlink" Target="https://www.focsani.info/fisiere/userfiles/proiecte%20act%20noirmativ/HOTARARE_ITL_2026.pdf" TargetMode="External"/><Relationship Id="rId545" Type="http://schemas.openxmlformats.org/officeDocument/2006/relationships/hyperlink" Target="https://www.focsani.info/fisiere/userfiles/proiecte%20act%20noirmativ/HOTARARE_ITL_2026.pdf" TargetMode="External"/><Relationship Id="rId546" Type="http://schemas.openxmlformats.org/officeDocument/2006/relationships/hyperlink" Target="https://www.focsani.info/fisiere/userfiles/proiecte%20act%20noirmativ/HOTARARE_ITL_2026.pdf" TargetMode="External"/><Relationship Id="rId547" Type="http://schemas.openxmlformats.org/officeDocument/2006/relationships/hyperlink" Target="https://www.focsani.info/fisiere/userfiles/proiecte%20act%20noirmativ/HOTARARE_ITL_2026.pdf" TargetMode="External"/><Relationship Id="rId548" Type="http://schemas.openxmlformats.org/officeDocument/2006/relationships/hyperlink" Target="https://www.focsani.info/fisiere/userfiles/proiecte%20act%20noirmativ/HOTARARE_ITL_2026.pdf" TargetMode="External"/><Relationship Id="rId549" Type="http://schemas.openxmlformats.org/officeDocument/2006/relationships/hyperlink" Target="https://www.focsani.info/fisiere/userfiles/proiecte%20act%20noirmativ/HOTARARE_ITL_2026.pdf" TargetMode="External"/><Relationship Id="rId550" Type="http://schemas.openxmlformats.org/officeDocument/2006/relationships/hyperlink" Target="https://www.focsani.info/fisiere/userfiles/proiecte%20act%20noirmativ/HOTARARE_ITL_2026.pdf" TargetMode="External"/><Relationship Id="rId551" Type="http://schemas.openxmlformats.org/officeDocument/2006/relationships/hyperlink" Target="https://www.focsani.info/fisiere/userfiles/proiecte%20act%20noirmativ/HOTARARE_ITL_2026.pdf" TargetMode="External"/><Relationship Id="rId552" Type="http://schemas.openxmlformats.org/officeDocument/2006/relationships/hyperlink" Target="https://www.focsani.info/fisiere/userfiles/proiecte%20act%20noirmativ/HOTARARE_ITL_2026.pdf" TargetMode="External"/><Relationship Id="rId553" Type="http://schemas.openxmlformats.org/officeDocument/2006/relationships/hyperlink" Target="https://www.focsani.info/fisiere/userfiles/proiecte%20act%20noirmativ/HOTARARE_ITL_2026.pdf" TargetMode="External"/><Relationship Id="rId554" Type="http://schemas.openxmlformats.org/officeDocument/2006/relationships/hyperlink" Target="https://www.focsani.info/fisiere/userfiles/proiecte%20act%20noirmativ/HOTARARE_ITL_2026.pdf" TargetMode="External"/><Relationship Id="rId555" Type="http://schemas.openxmlformats.org/officeDocument/2006/relationships/hyperlink" Target="https://www.bursatransport.com/info/access/viewarticle/slug/taxe-acces-focsani" TargetMode="External"/><Relationship Id="rId556" Type="http://schemas.openxmlformats.org/officeDocument/2006/relationships/hyperlink" Target="https://www.bursatransport.com/info/access/viewarticle/slug/taxe-acces-focsani" TargetMode="External"/><Relationship Id="rId557" Type="http://schemas.openxmlformats.org/officeDocument/2006/relationships/hyperlink" Target="https://www.bursatransport.com/info/access/viewarticle/slug/taxe-acces-focsani" TargetMode="External"/><Relationship Id="rId558" Type="http://schemas.openxmlformats.org/officeDocument/2006/relationships/hyperlink" Target="https://www.bursatransport.com/info/access/viewarticle/slug/taxe-acces-focsani" TargetMode="External"/><Relationship Id="rId559" Type="http://schemas.openxmlformats.org/officeDocument/2006/relationships/hyperlink" Target="https://www.bursatransport.com/info/access/viewarticle/slug/taxe-acces-ramnicu-valcea" TargetMode="External"/><Relationship Id="rId560" Type="http://schemas.openxmlformats.org/officeDocument/2006/relationships/hyperlink" Target="https://www.bursatransport.com/info/access/viewarticle/slug/taxe-acces-ramnicu-valcea" TargetMode="External"/><Relationship Id="rId561" Type="http://schemas.openxmlformats.org/officeDocument/2006/relationships/hyperlink" Target="https://www.bursatransport.com/info/access/viewarticle/slug/taxe-acces-ramnicu-valcea" TargetMode="External"/><Relationship Id="rId562" Type="http://schemas.openxmlformats.org/officeDocument/2006/relationships/hyperlink" Target="https://www.bursatransport.com/info/access/viewarticle/slug/taxe-acces-ramnicu-valcea" TargetMode="External"/><Relationship Id="rId563" Type="http://schemas.openxmlformats.org/officeDocument/2006/relationships/hyperlink" Target="https://www.bursatransport.com/info/access/viewarticle/slug/taxe-acces-ramnicu-valcea" TargetMode="External"/><Relationship Id="rId564" Type="http://schemas.openxmlformats.org/officeDocument/2006/relationships/hyperlink" Target="https://www.bursatransport.com/info/access/viewarticle/slug/taxe-acces-ramnicu-valcea"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erovinieta.net/tollro" TargetMode="External"/><Relationship Id="rId2" Type="http://schemas.openxmlformats.org/officeDocument/2006/relationships/hyperlink" Target="https://erovinieta.net/tollro" TargetMode="External"/><Relationship Id="rId3" Type="http://schemas.openxmlformats.org/officeDocument/2006/relationships/hyperlink" Target="https://erovinieta.net/tollro" TargetMode="External"/><Relationship Id="rId4" Type="http://schemas.openxmlformats.org/officeDocument/2006/relationships/hyperlink" Target="https://erovinieta.net/tollro" TargetMode="External"/><Relationship Id="rId5" Type="http://schemas.openxmlformats.org/officeDocument/2006/relationships/hyperlink" Target="https://erovinieta.net/tollro" TargetMode="External"/><Relationship Id="rId6" Type="http://schemas.openxmlformats.org/officeDocument/2006/relationships/hyperlink" Target="https://erovinieta.net/tollro" TargetMode="External"/><Relationship Id="rId7" Type="http://schemas.openxmlformats.org/officeDocument/2006/relationships/hyperlink" Target="https://erovinieta.net/tollro" TargetMode="External"/><Relationship Id="rId8" Type="http://schemas.openxmlformats.org/officeDocument/2006/relationships/hyperlink" Target="https://erovinieta.net/tollro" TargetMode="External"/><Relationship Id="rId9" Type="http://schemas.openxmlformats.org/officeDocument/2006/relationships/hyperlink" Target="https://erovinieta.net/tollro" TargetMode="External"/><Relationship Id="rId10" Type="http://schemas.openxmlformats.org/officeDocument/2006/relationships/hyperlink" Target="https://erovinieta.net/tollro" TargetMode="External"/><Relationship Id="rId11" Type="http://schemas.openxmlformats.org/officeDocument/2006/relationships/hyperlink" Target="https://erovinieta.net/tollro" TargetMode="External"/><Relationship Id="rId12" Type="http://schemas.openxmlformats.org/officeDocument/2006/relationships/hyperlink" Target="https://erovinieta.net/tollro" TargetMode="External"/><Relationship Id="rId13" Type="http://schemas.openxmlformats.org/officeDocument/2006/relationships/hyperlink" Target="https://erovinieta.net/tollro" TargetMode="External"/><Relationship Id="rId14" Type="http://schemas.openxmlformats.org/officeDocument/2006/relationships/hyperlink" Target="https://erovinieta.net/tollro" TargetMode="External"/><Relationship Id="rId15" Type="http://schemas.openxmlformats.org/officeDocument/2006/relationships/hyperlink" Target="https://erovinieta.net/tollro" TargetMode="External"/><Relationship Id="rId16" Type="http://schemas.openxmlformats.org/officeDocument/2006/relationships/hyperlink" Target="https://erovinieta.net/tollro" TargetMode="External"/><Relationship Id="rId17" Type="http://schemas.openxmlformats.org/officeDocument/2006/relationships/hyperlink" Target="https://erovinieta.net/tollro" TargetMode="External"/><Relationship Id="rId18" Type="http://schemas.openxmlformats.org/officeDocument/2006/relationships/hyperlink" Target="https://erovinieta.net/tollro" TargetMode="External"/><Relationship Id="rId19" Type="http://schemas.openxmlformats.org/officeDocument/2006/relationships/hyperlink" Target="https://legislatie.just.ro/Public/DetaliiDocument/272230" TargetMode="External"/><Relationship Id="rId20" Type="http://schemas.openxmlformats.org/officeDocument/2006/relationships/hyperlink" Target="https://economedia.ro/wp-content/uploads/2025/09/Tabele-ROVINIETA-PEAJ-.pdf" TargetMode="External"/><Relationship Id="rId21" Type="http://schemas.openxmlformats.org/officeDocument/2006/relationships/hyperlink" Target="https://economedia.ro/wp-content/uploads/2025/09/Tabele-ROVINIETA-PEAJ-.pdf" TargetMode="External"/><Relationship Id="rId22" Type="http://schemas.openxmlformats.org/officeDocument/2006/relationships/hyperlink" Target="https://economedia.ro/wp-content/uploads/2025/09/Tabele-ROVINIETA-PEAJ-.pdf" TargetMode="External"/><Relationship Id="rId23" Type="http://schemas.openxmlformats.org/officeDocument/2006/relationships/hyperlink" Target="https://economedia.ro/wp-content/uploads/2025/09/Tabele-ROVINIETA-PEAJ-.pdf" TargetMode="External"/><Relationship Id="rId24" Type="http://schemas.openxmlformats.org/officeDocument/2006/relationships/hyperlink" Target="https://economedia.ro/wp-content/uploads/2025/09/Tabele-ROVINIETA-PEAJ-.pdf" TargetMode="External"/><Relationship Id="rId25" Type="http://schemas.openxmlformats.org/officeDocument/2006/relationships/hyperlink" Target="https://economedia.ro/wp-content/uploads/2025/09/Tabele-ROVINIETA-PEAJ-.pdf" TargetMode="External"/><Relationship Id="rId26" Type="http://schemas.openxmlformats.org/officeDocument/2006/relationships/hyperlink" Target="https://economedia.ro/wp-content/uploads/2025/09/Tabele-ROVINIETA-PEAJ-.pdf" TargetMode="External"/><Relationship Id="rId27" Type="http://schemas.openxmlformats.org/officeDocument/2006/relationships/hyperlink" Target="https://economedia.ro/wp-content/uploads/2025/09/Tabele-ROVINIETA-PEAJ-.pdf" TargetMode="External"/><Relationship Id="rId28" Type="http://schemas.openxmlformats.org/officeDocument/2006/relationships/hyperlink" Target="https://economedia.ro/wp-content/uploads/2025/09/Tabele-ROVINIETA-PEAJ-.pdf" TargetMode="External"/><Relationship Id="rId29" Type="http://schemas.openxmlformats.org/officeDocument/2006/relationships/hyperlink" Target="https://economedia.ro/wp-content/uploads/2025/09/Tabele-ROVINIETA-PEAJ-.pdf" TargetMode="External"/><Relationship Id="rId30" Type="http://schemas.openxmlformats.org/officeDocument/2006/relationships/hyperlink" Target="https://economedia.ro/wp-content/uploads/2025/09/Tabele-ROVINIETA-PEAJ-.pdf" TargetMode="External"/><Relationship Id="rId31" Type="http://schemas.openxmlformats.org/officeDocument/2006/relationships/hyperlink" Target="https://economedia.ro/wp-content/uploads/2025/09/Tabele-ROVINIETA-PEAJ-.pdf" TargetMode="External"/><Relationship Id="rId32" Type="http://schemas.openxmlformats.org/officeDocument/2006/relationships/hyperlink" Target="https://economedia.ro/wp-content/uploads/2025/09/Tabele-ROVINIETA-PEAJ-.pdf" TargetMode="External"/><Relationship Id="rId33" Type="http://schemas.openxmlformats.org/officeDocument/2006/relationships/hyperlink" Target="https://economedia.ro/wp-content/uploads/2025/09/Tabele-ROVINIETA-PEAJ-.pdf" TargetMode="External"/><Relationship Id="rId34" Type="http://schemas.openxmlformats.org/officeDocument/2006/relationships/hyperlink" Target="https://economedia.ro/wp-content/uploads/2025/09/Tabele-ROVINIETA-PEAJ-.pdf" TargetMode="External"/><Relationship Id="rId35" Type="http://schemas.openxmlformats.org/officeDocument/2006/relationships/hyperlink" Target="https://economedia.ro/wp-content/uploads/2025/09/Tabele-ROVINIETA-PEAJ-.pdf" TargetMode="External"/><Relationship Id="rId36" Type="http://schemas.openxmlformats.org/officeDocument/2006/relationships/hyperlink" Target="https://www.fiscalitatea.ro/rovinieta-si-tollro-de-la-1-octombrie-2026-tarife-noi-in-lei-25041/" TargetMode="External"/><Relationship Id="rId37" Type="http://schemas.openxmlformats.org/officeDocument/2006/relationships/hyperlink" Target="https://www.fiscalitatea.ro/rovinieta-si-tollro-de-la-1-octombrie-2026-tarife-noi-in-lei-25041/" TargetMode="External"/><Relationship Id="rId38" Type="http://schemas.openxmlformats.org/officeDocument/2006/relationships/hyperlink" Target="https://www.fiscalitatea.ro/rovinieta-si-tollro-de-la-1-octombrie-2026-tarife-noi-in-lei-25041/" TargetMode="External"/><Relationship Id="rId39" Type="http://schemas.openxmlformats.org/officeDocument/2006/relationships/hyperlink" Target="https://www.fiscalitatea.ro/rovinieta-si-tollro-de-la-1-octombrie-2026-tarife-noi-in-lei-25041/" TargetMode="External"/><Relationship Id="rId40" Type="http://schemas.openxmlformats.org/officeDocument/2006/relationships/hyperlink" Target="https://www.fiscalitatea.ro/rovinieta-si-tollro-de-la-1-octombrie-2026-tarife-noi-in-lei-25041/" TargetMode="External"/><Relationship Id="rId41" Type="http://schemas.openxmlformats.org/officeDocument/2006/relationships/hyperlink" Target="https://www.fiscalitatea.ro/rovinieta-si-tollro-de-la-1-octombrie-2026-tarife-noi-in-lei-25041/" TargetMode="External"/><Relationship Id="rId42" Type="http://schemas.openxmlformats.org/officeDocument/2006/relationships/hyperlink" Target="https://www.fiscalitatea.ro/rovinieta-si-tollro-de-la-1-octombrie-2026-tarife-noi-in-lei-25041/" TargetMode="External"/><Relationship Id="rId43" Type="http://schemas.openxmlformats.org/officeDocument/2006/relationships/hyperlink" Target="https://www.fiscalitatea.ro/rovinieta-si-tollro-de-la-1-octombrie-2026-tarife-noi-in-lei-25041/" TargetMode="External"/><Relationship Id="rId44" Type="http://schemas.openxmlformats.org/officeDocument/2006/relationships/hyperlink" Target="https://www.fiscalitatea.ro/rovinieta-si-tollro-de-la-1-octombrie-2026-tarife-noi-in-lei-25041/" TargetMode="External"/><Relationship Id="rId45" Type="http://schemas.openxmlformats.org/officeDocument/2006/relationships/hyperlink" Target="https://www.fiscalitatea.ro/rovinieta-si-tollro-de-la-1-octombrie-2026-tarife-noi-in-lei-25041/" TargetMode="External"/><Relationship Id="rId46" Type="http://schemas.openxmlformats.org/officeDocument/2006/relationships/hyperlink" Target="https://www.fiscalitatea.ro/rovinieta-si-tollro-de-la-1-octombrie-2026-tarife-noi-in-lei-25041/" TargetMode="External"/><Relationship Id="rId47" Type="http://schemas.openxmlformats.org/officeDocument/2006/relationships/hyperlink" Target="https://www.fiscalitatea.ro/rovinieta-si-tollro-de-la-1-octombrie-2026-tarife-noi-in-lei-25041/" TargetMode="External"/><Relationship Id="rId48" Type="http://schemas.openxmlformats.org/officeDocument/2006/relationships/hyperlink" Target="https://www.fiscalitatea.ro/rovinieta-si-tollro-de-la-1-octombrie-2026-tarife-noi-in-lei-25041/" TargetMode="External"/><Relationship Id="rId49" Type="http://schemas.openxmlformats.org/officeDocument/2006/relationships/hyperlink" Target="https://www.fiscalitatea.ro/rovinieta-si-tollro-de-la-1-octombrie-2026-tarife-noi-in-lei-25041/" TargetMode="External"/><Relationship Id="rId50" Type="http://schemas.openxmlformats.org/officeDocument/2006/relationships/hyperlink" Target="https://www.fiscalitatea.ro/rovinieta-si-tollro-de-la-1-octombrie-2026-tarife-noi-in-lei-25041/" TargetMode="External"/><Relationship Id="rId51" Type="http://schemas.openxmlformats.org/officeDocument/2006/relationships/hyperlink" Target="https://www.fiscalitatea.ro/rovinieta-si-tollro-de-la-1-octombrie-2026-tarife-noi-in-lei-25041/" TargetMode="External"/><Relationship Id="rId52" Type="http://schemas.openxmlformats.org/officeDocument/2006/relationships/hyperlink" Target="https://www.fiscalitatea.ro/rovinieta-si-tollro-de-la-1-octombrie-2026-tarife-noi-in-lei-25041/" TargetMode="External"/><Relationship Id="rId53" Type="http://schemas.openxmlformats.org/officeDocument/2006/relationships/hyperlink" Target="https://www.fiscalitatea.ro/rovinieta-si-tollro-de-la-1-octombrie-2026-tarife-noi-in-lei-25041/" TargetMode="External"/><Relationship Id="rId54" Type="http://schemas.openxmlformats.org/officeDocument/2006/relationships/hyperlink" Target="https://www.fiscalitatea.ro/rovinieta-si-tollro-de-la-1-octombrie-2026-tarife-noi-in-lei-25041/" TargetMode="External"/><Relationship Id="rId55" Type="http://schemas.openxmlformats.org/officeDocument/2006/relationships/hyperlink" Target="https://www.fiscalitatea.ro/rovinieta-si-tollro-de-la-1-octombrie-2026-tarife-noi-in-lei-25041/" TargetMode="External"/><Relationship Id="rId56" Type="http://schemas.openxmlformats.org/officeDocument/2006/relationships/hyperlink" Target="https://www.fuel-prices.eu/news/romania-vignette-tollro-october-2026/" TargetMode="External"/><Relationship Id="rId57" Type="http://schemas.openxmlformats.org/officeDocument/2006/relationships/hyperlink" Target="https://www.fuel-prices.eu/news/romania-vignette-tollro-october-2026/" TargetMode="External"/><Relationship Id="rId58" Type="http://schemas.openxmlformats.org/officeDocument/2006/relationships/hyperlink" Target="https://www.profit.ro/povesti-cu-profit/auto-transporturi/taxa-de-trecere-a-podului-de-la-giurgiu-ruse-eliminata-de-romania-bulgaria-se-mai-gandeste-22785333" TargetMode="External"/><Relationship Id="rId59" Type="http://schemas.openxmlformats.org/officeDocument/2006/relationships/hyperlink" Target="https://itpgo.ro/blog/rovinieta-1-octombrie-2026-tarife-euro-taxe-pod" TargetMode="External"/><Relationship Id="rId60" Type="http://schemas.openxmlformats.org/officeDocument/2006/relationships/hyperlink" Target="https://vidincalafatbridge.bg/en/charges" TargetMode="External"/><Relationship Id="rId61" Type="http://schemas.openxmlformats.org/officeDocument/2006/relationships/hyperlink" Target="https://vidincalafatbridge.bg/en/charges" TargetMode="External"/><Relationship Id="rId62" Type="http://schemas.openxmlformats.org/officeDocument/2006/relationships/hyperlink" Target="https://vidincalafatbridge.bg/en/charges" TargetMode="External"/><Relationship Id="rId63" Type="http://schemas.openxmlformats.org/officeDocument/2006/relationships/hyperlink" Target="https://vidincalafatbridge.bg/en/charges" TargetMode="External"/><Relationship Id="rId64" Type="http://schemas.openxmlformats.org/officeDocument/2006/relationships/hyperlink" Target="https://vidincalafatbridge.bg/en/charges" TargetMode="External"/><Relationship Id="rId65" Type="http://schemas.openxmlformats.org/officeDocument/2006/relationships/hyperlink" Target="https://www.digi24.ro/stiri/actualitate/scriosteanu-despre-celebrul-pod-de-la-braila-este-proiectat-sa-dureze-120-de-ani-soferii-nu-platesc-taxa-de-trecere-in-primii-5-ani-2413365" TargetMode="External"/><Relationship Id="rId66" Type="http://schemas.openxmlformats.org/officeDocument/2006/relationships/hyperlink" Target="https://www.untrr.ro/ro/legislatie/in-vigoare/regimul-drumurilor-dimensiuni-si-greutati-maxime-admise-restrictii-de-circulatie/la-solicitarea-untrr-din-ultimii-5-ani-cnair-a-redus-tarifele-ast-autoriza-ie-speciala-de-transport.html" TargetMode="External"/><Relationship Id="rId67" Type="http://schemas.openxmlformats.org/officeDocument/2006/relationships/hyperlink" Target="https://economedia.ro/cnair-limiteaza-traficul-greu-in-39-de-judete-din-cauza-temperaturilor-extreme.html" TargetMode="External"/><Relationship Id="rId68" Type="http://schemas.openxmlformats.org/officeDocument/2006/relationships/hyperlink" Target="https://www.capital.ro/restrictii-de-circulatie-de-paste-in-romania-se-aplica-si-pe-autostrada-soarelui-lista-zonelor-si-vehiculelor-vizate-de-cnair.html" TargetMode="External"/><Relationship Id="rId69" Type="http://schemas.openxmlformats.org/officeDocument/2006/relationships/hyperlink" Target="https://www.capital.ro/restrictii-de-circulatie-de-paste-in-romania-se-aplica-si-pe-autostrada-soarelui-lista-zonelor-si-vehiculelor-vizate-de-cnair.html" TargetMode="External"/><Relationship Id="rId70" Type="http://schemas.openxmlformats.org/officeDocument/2006/relationships/hyperlink" Target="https://www.capital.ro/restrictii-de-circulatie-de-paste-in-romania-se-aplica-si-pe-autostrada-soarelui-lista-zonelor-si-vehiculelor-vizate-de-cnair.html" TargetMode="External"/><Relationship Id="rId71" Type="http://schemas.openxmlformats.org/officeDocument/2006/relationships/hyperlink" Target="https://profit.ro/povesti-cu-profit/auto-transporturi/restrictii-de-circulatie-pentru-masinile-mai-mari-de-7-5-tone-in-iulie-si-august-pe-autostrada-soarelui-si-pe-doua-drumuri-nationale-19048086" TargetMode="External"/><Relationship Id="rId72" Type="http://schemas.openxmlformats.org/officeDocument/2006/relationships/hyperlink" Target="https://www.etoll.r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zoomScale="100" zoomScaleNormal="100" view="normal">
      <selection activeCell="A1" sqref="A1"/>
    </sheetView>
  </sheetViews>
  <sheetFormatPr defaultRowHeight="15" outlineLevelRow="0" outlineLevelCol="0" x14ac:dyDescent="0" defaultColWidth="8.6796875"/>
  <cols>
    <col min="1" max="1" width="46" customWidth="1"/>
    <col min="2" max="3" width="16" customWidth="1"/>
    <col min="4" max="4" width="70" customWidth="1"/>
  </cols>
  <sheetData>
    <row r="1" ht="17.35" customHeight="1" spans="1:1" x14ac:dyDescent="0.25">
      <c r="A1" s="1" t="s">
        <v>0</v>
      </c>
    </row>
    <row r="2" ht="15" customHeight="1" spans="1:1" x14ac:dyDescent="0.25">
      <c r="A2" s="2" t="s">
        <v>1</v>
      </c>
    </row>
    <row r="4" ht="30" customHeight="1" spans="1:4" x14ac:dyDescent="0.25">
      <c r="A4" s="3" t="s">
        <v>2</v>
      </c>
      <c r="B4" s="3" t="s">
        <v>3</v>
      </c>
      <c r="C4" s="3" t="s">
        <v>4</v>
      </c>
      <c r="D4" s="3" t="s">
        <v>5</v>
      </c>
    </row>
    <row r="5" ht="15" customHeight="1" spans="1:4" x14ac:dyDescent="0.25">
      <c r="A5" s="4" t="s">
        <v>6</v>
      </c>
      <c r="B5" s="5">
        <f>COUNTIFS(Localități!$C$2:$C$82,A5,Localități!$A$2:$A$82,"Ilfov")+COUNTIFS(Localități!$C$2:$C$82,A5,Localități!$A$2:$A$82,"București")</f>
        <v>4</v>
      </c>
      <c r="C5" s="5">
        <f>COUNTIF(Localități!$C$2:$C$82,A5)-B5</f>
        <v>10</v>
      </c>
      <c r="D5" s="6" t="s">
        <v>7</v>
      </c>
    </row>
    <row r="6" ht="23.85" customHeight="1" spans="1:4" x14ac:dyDescent="0.25">
      <c r="A6" s="7" t="s">
        <v>8</v>
      </c>
      <c r="B6" s="5">
        <f>COUNTIFS(Localități!$C$2:$C$82,A6,Localități!$A$2:$A$82,"Ilfov")+COUNTIFS(Localități!$C$2:$C$82,A6,Localități!$A$2:$A$82,"București")</f>
        <v>3</v>
      </c>
      <c r="C6" s="5">
        <f>COUNTIF(Localități!$C$2:$C$82,A6)-B6</f>
        <v>14</v>
      </c>
      <c r="D6" s="6" t="s">
        <v>9</v>
      </c>
    </row>
    <row r="7" ht="15" customHeight="1" spans="1:4" x14ac:dyDescent="0.25">
      <c r="A7" s="8" t="s">
        <v>10</v>
      </c>
      <c r="B7" s="5">
        <f>COUNTIFS(Localități!$C$2:$C$82,A7,Localități!$A$2:$A$82,"Ilfov")+COUNTIFS(Localități!$C$2:$C$82,A7,Localități!$A$2:$A$82,"București")</f>
        <v>1</v>
      </c>
      <c r="C7" s="5">
        <f>COUNTIF(Localități!$C$2:$C$82,A7)-B7</f>
        <v>0</v>
      </c>
      <c r="D7" s="6" t="s">
        <v>11</v>
      </c>
    </row>
    <row r="8" ht="15" customHeight="1" spans="1:4" x14ac:dyDescent="0.25">
      <c r="A8" s="8" t="s">
        <v>12</v>
      </c>
      <c r="B8" s="5">
        <f>COUNTIFS(Localități!$C$2:$C$82,A8,Localități!$A$2:$A$82,"Ilfov")+COUNTIFS(Localități!$C$2:$C$82,A8,Localități!$A$2:$A$82,"București")</f>
        <v>0</v>
      </c>
      <c r="C8" s="5">
        <f>COUNTIF(Localități!$C$2:$C$82,A8)-B8</f>
        <v>1</v>
      </c>
      <c r="D8" s="6" t="s">
        <v>13</v>
      </c>
    </row>
    <row r="9" ht="15" customHeight="1" spans="1:4" x14ac:dyDescent="0.25">
      <c r="A9" s="9" t="s">
        <v>14</v>
      </c>
      <c r="B9" s="5">
        <f>COUNTIFS(Localități!$C$2:$C$82,A9,Localități!$A$2:$A$82,"Ilfov")+COUNTIFS(Localități!$C$2:$C$82,A9,Localități!$A$2:$A$82,"București")</f>
        <v>3</v>
      </c>
      <c r="C9" s="5">
        <f>COUNTIF(Localități!$C$2:$C$82,A9)-B9</f>
        <v>5</v>
      </c>
      <c r="D9" s="6" t="s">
        <v>15</v>
      </c>
    </row>
    <row r="10" ht="15" customHeight="1" spans="1:4" x14ac:dyDescent="0.25">
      <c r="A10" s="9" t="s">
        <v>16</v>
      </c>
      <c r="B10" s="5">
        <f>COUNTIFS(Localități!$C$2:$C$82,A10,Localități!$A$2:$A$82,"Ilfov")+COUNTIFS(Localități!$C$2:$C$82,A10,Localități!$A$2:$A$82,"București")</f>
        <v>0</v>
      </c>
      <c r="C10" s="5">
        <f>COUNTIF(Localități!$C$2:$C$82,A10)-B10</f>
        <v>1</v>
      </c>
      <c r="D10" s="6" t="s">
        <v>17</v>
      </c>
    </row>
    <row r="11" ht="15" customHeight="1" spans="1:4" x14ac:dyDescent="0.25">
      <c r="A11" s="10" t="s">
        <v>18</v>
      </c>
      <c r="B11" s="5">
        <f>COUNTIFS(Localități!$C$2:$C$82,A11,Localități!$A$2:$A$82,"Ilfov")+COUNTIFS(Localități!$C$2:$C$82,A11,Localități!$A$2:$A$82,"București")</f>
        <v>30</v>
      </c>
      <c r="C11" s="5">
        <f>COUNTIF(Localități!$C$2:$C$82,A11)-B11</f>
        <v>9</v>
      </c>
      <c r="D11" s="6" t="s">
        <v>19</v>
      </c>
    </row>
    <row r="12" ht="15" customHeight="1" spans="1:3" x14ac:dyDescent="0.25">
      <c r="A12" s="11" t="s">
        <v>20</v>
      </c>
      <c r="B12" s="11">
        <f>SUM(B5:B11)</f>
        <v>41</v>
      </c>
      <c r="C12" s="11">
        <f>SUM(C5:C11)</f>
        <v>40</v>
      </c>
    </row>
    <row r="14" ht="15" customHeight="1" spans="1:2" x14ac:dyDescent="0.25">
      <c r="A14" s="2" t="s">
        <v>21</v>
      </c>
      <c r="B14" s="2">
        <f>COUNTA(Tarife!$B$2:$B$576)</f>
        <v>575</v>
      </c>
    </row>
    <row r="15" ht="15" customHeight="1" spans="1:2" x14ac:dyDescent="0.25">
      <c r="A15" s="2" t="s">
        <v>22</v>
      </c>
      <c r="B15" s="2">
        <f>COUNT(Tarife!$H$2:$H$576)</f>
        <v>481</v>
      </c>
    </row>
    <row r="17" ht="15" customHeight="1" spans="1:1" x14ac:dyDescent="0.25">
      <c r="A17" s="11" t="s">
        <v>23</v>
      </c>
    </row>
    <row r="18" ht="30" customHeight="1" spans="1:4" x14ac:dyDescent="0.25">
      <c r="A18" s="12" t="s">
        <v>24</v>
      </c>
      <c r="B18" s="12"/>
      <c r="C18" s="12"/>
      <c r="D18" s="12"/>
    </row>
    <row r="19" ht="30" customHeight="1" spans="1:4" x14ac:dyDescent="0.25">
      <c r="A19" s="12" t="s">
        <v>25</v>
      </c>
      <c r="B19" s="12"/>
      <c r="C19" s="12"/>
      <c r="D19" s="12"/>
    </row>
    <row r="20" ht="30" customHeight="1" spans="1:4" x14ac:dyDescent="0.25">
      <c r="A20" s="12" t="s">
        <v>26</v>
      </c>
      <c r="B20" s="12"/>
      <c r="C20" s="12"/>
      <c r="D20" s="12"/>
    </row>
    <row r="21" ht="30" customHeight="1" spans="1:4" x14ac:dyDescent="0.25">
      <c r="A21" s="12" t="s">
        <v>27</v>
      </c>
      <c r="B21" s="12"/>
      <c r="C21" s="12"/>
      <c r="D21" s="12"/>
    </row>
    <row r="22" ht="30" customHeight="1" spans="1:4" x14ac:dyDescent="0.25">
      <c r="A22" s="12" t="s">
        <v>28</v>
      </c>
      <c r="B22" s="12"/>
      <c r="C22" s="12"/>
      <c r="D22" s="12"/>
    </row>
    <row r="23" ht="30" customHeight="1" spans="1:4" x14ac:dyDescent="0.25">
      <c r="A23" s="12" t="s">
        <v>29</v>
      </c>
      <c r="B23" s="12"/>
      <c r="C23" s="12"/>
      <c r="D23" s="12"/>
    </row>
    <row r="24" ht="30" customHeight="1" spans="1:4" x14ac:dyDescent="0.25">
      <c r="A24" s="12" t="s">
        <v>30</v>
      </c>
      <c r="B24" s="12"/>
      <c r="C24" s="12"/>
      <c r="D24" s="12"/>
    </row>
    <row r="25" ht="30" customHeight="1" spans="1:4" x14ac:dyDescent="0.25">
      <c r="A25" s="12" t="s">
        <v>31</v>
      </c>
      <c r="B25" s="12"/>
      <c r="C25" s="12"/>
      <c r="D25" s="12"/>
    </row>
    <row r="26" ht="36" customHeight="1" spans="1:4" x14ac:dyDescent="0.25">
      <c r="A26" s="12" t="s">
        <v>32</v>
      </c>
      <c r="B26" s="12"/>
      <c r="C26" s="12"/>
      <c r="D26" s="12"/>
    </row>
    <row r="27" ht="36" customHeight="1" spans="1:4" x14ac:dyDescent="0.25">
      <c r="A27" s="12" t="s">
        <v>33</v>
      </c>
      <c r="B27" s="12"/>
      <c r="C27" s="12"/>
      <c r="D27" s="12"/>
    </row>
    <row r="28" spans="1:1" x14ac:dyDescent="0.25"/>
    <row r="29" spans="1:1" x14ac:dyDescent="0.25"/>
    <row r="30" spans="1:1" x14ac:dyDescent="0.25"/>
    <row r="31" spans="1:1" x14ac:dyDescent="0.25"/>
    <row r="32" spans="1:1" x14ac:dyDescent="0.25"/>
    <row r="33" spans="1:1" x14ac:dyDescent="0.25"/>
    <row r="34" spans="1:1" x14ac:dyDescent="0.25"/>
    <row r="35" spans="1:1" x14ac:dyDescent="0.25"/>
    <row r="36" spans="1:1" x14ac:dyDescent="0.25"/>
    <row r="37" spans="1:1" x14ac:dyDescent="0.25"/>
    <row r="38" spans="1:1" x14ac:dyDescent="0.25"/>
    <row r="39" spans="1:1" x14ac:dyDescent="0.25"/>
    <row r="40" spans="1:1" x14ac:dyDescent="0.25"/>
  </sheetData>
  <mergeCells count="10">
    <mergeCell ref="A18:D18"/>
    <mergeCell ref="A19:D19"/>
    <mergeCell ref="A20:D20"/>
    <mergeCell ref="A21:D21"/>
    <mergeCell ref="A22:D22"/>
    <mergeCell ref="A23:D23"/>
    <mergeCell ref="A24:D24"/>
    <mergeCell ref="A25:D25"/>
    <mergeCell ref="A26:D26"/>
    <mergeCell ref="A27:D27"/>
  </mergeCells>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2"/>
  <sheetViews>
    <sheetView workbookViewId="0" zoomScale="100" zoomScaleNormal="100" view="normal">
      <pane xSplit="2" ySplit="1" topLeftCell="C2" activePane="bottomRight" state="frozen"/>
      <selection pane="bottomRight" activeCell="A1" sqref="A1"/>
    </sheetView>
  </sheetViews>
  <sheetFormatPr defaultRowHeight="15" outlineLevelRow="0" outlineLevelCol="0" x14ac:dyDescent="0" defaultColWidth="8.6796875"/>
  <cols>
    <col min="1" max="1" width="14" customWidth="1"/>
    <col min="2" max="2" width="20" customWidth="1"/>
    <col min="3" max="3" width="26" customWidth="1"/>
    <col min="4" max="4" width="22" customWidth="1"/>
    <col min="5" max="5" width="48" customWidth="1"/>
    <col min="6" max="6" width="10" customWidth="1"/>
    <col min="7" max="7" width="40" customWidth="1"/>
    <col min="8" max="8" width="48" customWidth="1"/>
    <col min="9" max="9" width="40" customWidth="1"/>
    <col min="10" max="10" width="60" customWidth="1"/>
    <col min="11" max="11" width="50" customWidth="1"/>
  </cols>
  <sheetData>
    <row r="1" ht="30" customHeight="1" spans="1:11" x14ac:dyDescent="0.25">
      <c r="A1" s="3" t="s">
        <v>225</v>
      </c>
      <c r="B1" s="3" t="s">
        <v>226</v>
      </c>
      <c r="C1" s="3" t="s">
        <v>2</v>
      </c>
      <c r="D1" s="3" t="s">
        <v>227</v>
      </c>
      <c r="E1" s="3" t="s">
        <v>228</v>
      </c>
      <c r="F1" s="3" t="s">
        <v>229</v>
      </c>
      <c r="G1" s="3" t="s">
        <v>230</v>
      </c>
      <c r="H1" s="3" t="s">
        <v>231</v>
      </c>
      <c r="I1" s="3" t="s">
        <v>232</v>
      </c>
      <c r="J1" s="3" t="s">
        <v>233</v>
      </c>
      <c r="K1" s="3" t="s">
        <v>234</v>
      </c>
    </row>
    <row r="2" ht="113.4" customHeight="1" spans="1:11" x14ac:dyDescent="0.25">
      <c r="A2" s="20" t="s">
        <v>235</v>
      </c>
      <c r="B2" s="20" t="s">
        <v>235</v>
      </c>
      <c r="C2" s="21" t="s">
        <v>6</v>
      </c>
      <c r="D2" s="20" t="s">
        <v>236</v>
      </c>
      <c r="E2" s="6" t="s">
        <v>237</v>
      </c>
      <c r="F2" s="20">
        <v>48</v>
      </c>
      <c r="G2" s="6" t="s">
        <v>238</v>
      </c>
      <c r="H2" s="6" t="s">
        <v>239</v>
      </c>
      <c r="I2" s="6" t="s">
        <v>240</v>
      </c>
      <c r="J2" s="6" t="s">
        <v>241</v>
      </c>
      <c r="K2" s="22" t="s">
        <v>242</v>
      </c>
    </row>
    <row r="3" ht="68.65" customHeight="1" spans="1:11" x14ac:dyDescent="0.25">
      <c r="A3" s="20" t="s">
        <v>243</v>
      </c>
      <c r="B3" s="20" t="s">
        <v>244</v>
      </c>
      <c r="C3" s="23" t="s">
        <v>18</v>
      </c>
      <c r="D3" s="20"/>
      <c r="E3" s="6"/>
      <c r="F3" s="20">
        <v>0</v>
      </c>
      <c r="G3" s="6" t="s">
        <v>245</v>
      </c>
      <c r="H3" s="6"/>
      <c r="I3" s="6" t="s">
        <v>246</v>
      </c>
      <c r="J3" s="6" t="s">
        <v>247</v>
      </c>
      <c r="K3" s="22" t="s">
        <v>248</v>
      </c>
    </row>
    <row r="4" ht="46.25" customHeight="1" spans="1:11" x14ac:dyDescent="0.25">
      <c r="A4" s="20" t="s">
        <v>243</v>
      </c>
      <c r="B4" s="20" t="s">
        <v>249</v>
      </c>
      <c r="C4" s="21" t="s">
        <v>6</v>
      </c>
      <c r="D4" s="20" t="s">
        <v>236</v>
      </c>
      <c r="E4" s="6" t="s">
        <v>250</v>
      </c>
      <c r="F4" s="20">
        <v>8</v>
      </c>
      <c r="G4" s="6" t="s">
        <v>251</v>
      </c>
      <c r="H4" s="6" t="s">
        <v>252</v>
      </c>
      <c r="I4" s="6" t="s">
        <v>253</v>
      </c>
      <c r="J4" s="6" t="s">
        <v>254</v>
      </c>
      <c r="K4" s="22" t="s">
        <v>255</v>
      </c>
    </row>
    <row r="5" ht="35.05" customHeight="1" spans="1:11" x14ac:dyDescent="0.25">
      <c r="A5" s="20" t="s">
        <v>243</v>
      </c>
      <c r="B5" s="20" t="s">
        <v>256</v>
      </c>
      <c r="C5" s="23" t="s">
        <v>18</v>
      </c>
      <c r="D5" s="20"/>
      <c r="E5" s="6"/>
      <c r="F5" s="20">
        <v>0</v>
      </c>
      <c r="G5" s="6"/>
      <c r="H5" s="6"/>
      <c r="I5" s="6" t="s">
        <v>257</v>
      </c>
      <c r="J5" s="6" t="s">
        <v>247</v>
      </c>
      <c r="K5" s="22" t="s">
        <v>258</v>
      </c>
    </row>
    <row r="6" ht="68.65" customHeight="1" spans="1:11" x14ac:dyDescent="0.25">
      <c r="A6" s="20" t="s">
        <v>243</v>
      </c>
      <c r="B6" s="20" t="s">
        <v>259</v>
      </c>
      <c r="C6" s="23" t="s">
        <v>18</v>
      </c>
      <c r="D6" s="20"/>
      <c r="E6" s="6"/>
      <c r="F6" s="20">
        <v>0</v>
      </c>
      <c r="G6" s="6" t="s">
        <v>260</v>
      </c>
      <c r="H6" s="6"/>
      <c r="I6" s="6" t="s">
        <v>261</v>
      </c>
      <c r="J6" s="6" t="s">
        <v>262</v>
      </c>
      <c r="K6" s="22" t="s">
        <v>263</v>
      </c>
    </row>
    <row r="7" ht="46.25" customHeight="1" spans="1:11" x14ac:dyDescent="0.25">
      <c r="A7" s="20" t="s">
        <v>243</v>
      </c>
      <c r="B7" s="20" t="s">
        <v>264</v>
      </c>
      <c r="C7" s="23" t="s">
        <v>18</v>
      </c>
      <c r="D7" s="20"/>
      <c r="E7" s="6"/>
      <c r="F7" s="20">
        <v>0</v>
      </c>
      <c r="G7" s="6"/>
      <c r="H7" s="6"/>
      <c r="I7" s="6" t="s">
        <v>265</v>
      </c>
      <c r="J7" s="6" t="s">
        <v>266</v>
      </c>
      <c r="K7" s="22" t="s">
        <v>267</v>
      </c>
    </row>
    <row r="8" ht="79.85" customHeight="1" spans="1:11" x14ac:dyDescent="0.25">
      <c r="A8" s="20" t="s">
        <v>243</v>
      </c>
      <c r="B8" s="20" t="s">
        <v>268</v>
      </c>
      <c r="C8" s="24" t="s">
        <v>8</v>
      </c>
      <c r="D8" s="20" t="s">
        <v>269</v>
      </c>
      <c r="E8" s="6" t="s">
        <v>270</v>
      </c>
      <c r="F8" s="20">
        <v>10</v>
      </c>
      <c r="G8" s="6" t="s">
        <v>271</v>
      </c>
      <c r="H8" s="6" t="s">
        <v>272</v>
      </c>
      <c r="I8" s="6" t="s">
        <v>273</v>
      </c>
      <c r="J8" s="6" t="s">
        <v>274</v>
      </c>
      <c r="K8" s="22" t="s">
        <v>275</v>
      </c>
    </row>
    <row r="9" ht="57.45" customHeight="1" spans="1:11" x14ac:dyDescent="0.25">
      <c r="A9" s="20" t="s">
        <v>243</v>
      </c>
      <c r="B9" s="20" t="s">
        <v>276</v>
      </c>
      <c r="C9" s="21" t="s">
        <v>6</v>
      </c>
      <c r="D9" s="20" t="s">
        <v>236</v>
      </c>
      <c r="E9" s="6" t="s">
        <v>277</v>
      </c>
      <c r="F9" s="20">
        <v>35</v>
      </c>
      <c r="G9" s="6" t="s">
        <v>278</v>
      </c>
      <c r="H9" s="6" t="s">
        <v>279</v>
      </c>
      <c r="I9" s="6" t="s">
        <v>280</v>
      </c>
      <c r="J9" s="6" t="s">
        <v>281</v>
      </c>
      <c r="K9" s="22" t="s">
        <v>282</v>
      </c>
    </row>
    <row r="10" ht="23.85" customHeight="1" spans="1:11" x14ac:dyDescent="0.25">
      <c r="A10" s="20" t="s">
        <v>243</v>
      </c>
      <c r="B10" s="20" t="s">
        <v>283</v>
      </c>
      <c r="C10" s="25" t="s">
        <v>14</v>
      </c>
      <c r="D10" s="20" t="s">
        <v>269</v>
      </c>
      <c r="E10" s="6"/>
      <c r="F10" s="20">
        <v>0</v>
      </c>
      <c r="G10" s="6" t="s">
        <v>284</v>
      </c>
      <c r="H10" s="6" t="s">
        <v>285</v>
      </c>
      <c r="I10" s="6" t="s">
        <v>286</v>
      </c>
      <c r="J10" s="6" t="s">
        <v>287</v>
      </c>
      <c r="K10" s="22" t="s">
        <v>288</v>
      </c>
    </row>
    <row r="11" ht="135.8" customHeight="1" spans="1:11" x14ac:dyDescent="0.25">
      <c r="A11" s="20" t="s">
        <v>243</v>
      </c>
      <c r="B11" s="20" t="s">
        <v>289</v>
      </c>
      <c r="C11" s="21" t="s">
        <v>6</v>
      </c>
      <c r="D11" s="20" t="s">
        <v>236</v>
      </c>
      <c r="E11" s="6" t="s">
        <v>290</v>
      </c>
      <c r="F11" s="20">
        <v>12</v>
      </c>
      <c r="G11" s="6" t="s">
        <v>291</v>
      </c>
      <c r="H11" s="6" t="s">
        <v>292</v>
      </c>
      <c r="I11" s="6" t="s">
        <v>293</v>
      </c>
      <c r="J11" s="6" t="s">
        <v>294</v>
      </c>
      <c r="K11" s="22" t="s">
        <v>295</v>
      </c>
    </row>
    <row r="12" ht="46.25" customHeight="1" spans="1:11" x14ac:dyDescent="0.25">
      <c r="A12" s="20" t="s">
        <v>243</v>
      </c>
      <c r="B12" s="20" t="s">
        <v>296</v>
      </c>
      <c r="C12" s="26" t="s">
        <v>10</v>
      </c>
      <c r="D12" s="20" t="s">
        <v>297</v>
      </c>
      <c r="E12" s="6" t="s">
        <v>298</v>
      </c>
      <c r="F12" s="20">
        <v>5</v>
      </c>
      <c r="G12" s="6" t="s">
        <v>299</v>
      </c>
      <c r="H12" s="6" t="s">
        <v>300</v>
      </c>
      <c r="I12" s="6" t="s">
        <v>301</v>
      </c>
      <c r="J12" s="6" t="s">
        <v>302</v>
      </c>
      <c r="K12" s="22" t="s">
        <v>303</v>
      </c>
    </row>
    <row r="13" ht="46.25" customHeight="1" spans="1:11" x14ac:dyDescent="0.25">
      <c r="A13" s="20" t="s">
        <v>243</v>
      </c>
      <c r="B13" s="20" t="s">
        <v>304</v>
      </c>
      <c r="C13" s="23" t="s">
        <v>18</v>
      </c>
      <c r="D13" s="20"/>
      <c r="E13" s="6"/>
      <c r="F13" s="20">
        <v>0</v>
      </c>
      <c r="G13" s="6"/>
      <c r="H13" s="6"/>
      <c r="I13" s="6" t="s">
        <v>305</v>
      </c>
      <c r="J13" s="6" t="s">
        <v>247</v>
      </c>
      <c r="K13" s="22" t="s">
        <v>306</v>
      </c>
    </row>
    <row r="14" ht="46.25" customHeight="1" spans="1:11" x14ac:dyDescent="0.25">
      <c r="A14" s="20" t="s">
        <v>243</v>
      </c>
      <c r="B14" s="20" t="s">
        <v>307</v>
      </c>
      <c r="C14" s="23" t="s">
        <v>18</v>
      </c>
      <c r="D14" s="20"/>
      <c r="E14" s="6"/>
      <c r="F14" s="20">
        <v>0</v>
      </c>
      <c r="G14" s="6"/>
      <c r="H14" s="6"/>
      <c r="I14" s="6" t="s">
        <v>308</v>
      </c>
      <c r="J14" s="6" t="s">
        <v>247</v>
      </c>
      <c r="K14" s="22" t="s">
        <v>309</v>
      </c>
    </row>
    <row r="15" ht="46.25" customHeight="1" spans="1:11" x14ac:dyDescent="0.25">
      <c r="A15" s="20" t="s">
        <v>243</v>
      </c>
      <c r="B15" s="20" t="s">
        <v>310</v>
      </c>
      <c r="C15" s="23" t="s">
        <v>18</v>
      </c>
      <c r="D15" s="20"/>
      <c r="E15" s="6"/>
      <c r="F15" s="20">
        <v>0</v>
      </c>
      <c r="G15" s="6"/>
      <c r="H15" s="6"/>
      <c r="I15" s="6" t="s">
        <v>311</v>
      </c>
      <c r="J15" s="6" t="s">
        <v>247</v>
      </c>
      <c r="K15" s="22" t="s">
        <v>312</v>
      </c>
    </row>
    <row r="16" ht="23.85" customHeight="1" spans="1:11" x14ac:dyDescent="0.25">
      <c r="A16" s="20" t="s">
        <v>243</v>
      </c>
      <c r="B16" s="20" t="s">
        <v>313</v>
      </c>
      <c r="C16" s="23" t="s">
        <v>18</v>
      </c>
      <c r="D16" s="20"/>
      <c r="E16" s="6"/>
      <c r="F16" s="20">
        <v>0</v>
      </c>
      <c r="G16" s="6"/>
      <c r="H16" s="6"/>
      <c r="I16" s="6" t="s">
        <v>314</v>
      </c>
      <c r="J16" s="6" t="s">
        <v>247</v>
      </c>
      <c r="K16" s="20"/>
    </row>
    <row r="17" ht="68.65" customHeight="1" spans="1:11" x14ac:dyDescent="0.25">
      <c r="A17" s="20" t="s">
        <v>243</v>
      </c>
      <c r="B17" s="20" t="s">
        <v>315</v>
      </c>
      <c r="C17" s="24" t="s">
        <v>8</v>
      </c>
      <c r="D17" s="20" t="s">
        <v>297</v>
      </c>
      <c r="E17" s="6" t="s">
        <v>316</v>
      </c>
      <c r="F17" s="20">
        <v>35</v>
      </c>
      <c r="G17" s="6" t="s">
        <v>317</v>
      </c>
      <c r="H17" s="6" t="s">
        <v>318</v>
      </c>
      <c r="I17" s="6" t="s">
        <v>319</v>
      </c>
      <c r="J17" s="6" t="s">
        <v>320</v>
      </c>
      <c r="K17" s="22" t="s">
        <v>321</v>
      </c>
    </row>
    <row r="18" ht="46.25" customHeight="1" spans="1:11" x14ac:dyDescent="0.25">
      <c r="A18" s="20" t="s">
        <v>243</v>
      </c>
      <c r="B18" s="20" t="s">
        <v>322</v>
      </c>
      <c r="C18" s="23" t="s">
        <v>18</v>
      </c>
      <c r="D18" s="20"/>
      <c r="E18" s="6"/>
      <c r="F18" s="20">
        <v>0</v>
      </c>
      <c r="G18" s="6"/>
      <c r="H18" s="6"/>
      <c r="I18" s="6" t="s">
        <v>323</v>
      </c>
      <c r="J18" s="6" t="s">
        <v>247</v>
      </c>
      <c r="K18" s="22" t="s">
        <v>324</v>
      </c>
    </row>
    <row r="19" ht="23.85" customHeight="1" spans="1:11" x14ac:dyDescent="0.25">
      <c r="A19" s="20" t="s">
        <v>243</v>
      </c>
      <c r="B19" s="20" t="s">
        <v>325</v>
      </c>
      <c r="C19" s="23" t="s">
        <v>18</v>
      </c>
      <c r="D19" s="20"/>
      <c r="E19" s="6"/>
      <c r="F19" s="20">
        <v>0</v>
      </c>
      <c r="G19" s="6"/>
      <c r="H19" s="6"/>
      <c r="I19" s="6"/>
      <c r="J19" s="6" t="s">
        <v>247</v>
      </c>
      <c r="K19" s="20"/>
    </row>
    <row r="20" ht="57.45" customHeight="1" spans="1:11" x14ac:dyDescent="0.25">
      <c r="A20" s="20" t="s">
        <v>243</v>
      </c>
      <c r="B20" s="20" t="s">
        <v>326</v>
      </c>
      <c r="C20" s="23" t="s">
        <v>18</v>
      </c>
      <c r="D20" s="20"/>
      <c r="E20" s="6"/>
      <c r="F20" s="20">
        <v>0</v>
      </c>
      <c r="G20" s="6"/>
      <c r="H20" s="6"/>
      <c r="I20" s="6" t="s">
        <v>327</v>
      </c>
      <c r="J20" s="6" t="s">
        <v>247</v>
      </c>
      <c r="K20" s="22" t="s">
        <v>328</v>
      </c>
    </row>
    <row r="21" ht="46.25" customHeight="1" spans="1:11" x14ac:dyDescent="0.25">
      <c r="A21" s="20" t="s">
        <v>243</v>
      </c>
      <c r="B21" s="20" t="s">
        <v>329</v>
      </c>
      <c r="C21" s="23" t="s">
        <v>18</v>
      </c>
      <c r="D21" s="20"/>
      <c r="E21" s="6"/>
      <c r="F21" s="20">
        <v>0</v>
      </c>
      <c r="G21" s="6" t="s">
        <v>330</v>
      </c>
      <c r="H21" s="6"/>
      <c r="I21" s="6" t="s">
        <v>331</v>
      </c>
      <c r="J21" s="6" t="s">
        <v>247</v>
      </c>
      <c r="K21" s="22" t="s">
        <v>332</v>
      </c>
    </row>
    <row r="22" ht="46.25" customHeight="1" spans="1:11" x14ac:dyDescent="0.25">
      <c r="A22" s="20" t="s">
        <v>243</v>
      </c>
      <c r="B22" s="20" t="s">
        <v>333</v>
      </c>
      <c r="C22" s="23" t="s">
        <v>18</v>
      </c>
      <c r="D22" s="20"/>
      <c r="E22" s="6"/>
      <c r="F22" s="20">
        <v>0</v>
      </c>
      <c r="G22" s="6" t="s">
        <v>334</v>
      </c>
      <c r="H22" s="6"/>
      <c r="I22" s="6" t="s">
        <v>335</v>
      </c>
      <c r="J22" s="6" t="s">
        <v>336</v>
      </c>
      <c r="K22" s="22" t="s">
        <v>337</v>
      </c>
    </row>
    <row r="23" ht="46.25" customHeight="1" spans="1:11" x14ac:dyDescent="0.25">
      <c r="A23" s="20" t="s">
        <v>243</v>
      </c>
      <c r="B23" s="20" t="s">
        <v>338</v>
      </c>
      <c r="C23" s="23" t="s">
        <v>18</v>
      </c>
      <c r="D23" s="20"/>
      <c r="E23" s="6"/>
      <c r="F23" s="20">
        <v>0</v>
      </c>
      <c r="G23" s="6"/>
      <c r="H23" s="6"/>
      <c r="I23" s="6" t="s">
        <v>339</v>
      </c>
      <c r="J23" s="6" t="s">
        <v>247</v>
      </c>
      <c r="K23" s="22" t="s">
        <v>340</v>
      </c>
    </row>
    <row r="24" ht="35.05" customHeight="1" spans="1:11" x14ac:dyDescent="0.25">
      <c r="A24" s="20" t="s">
        <v>243</v>
      </c>
      <c r="B24" s="20" t="s">
        <v>341</v>
      </c>
      <c r="C24" s="23" t="s">
        <v>18</v>
      </c>
      <c r="D24" s="20"/>
      <c r="E24" s="6"/>
      <c r="F24" s="20">
        <v>0</v>
      </c>
      <c r="G24" s="6"/>
      <c r="H24" s="6"/>
      <c r="I24" s="6" t="s">
        <v>342</v>
      </c>
      <c r="J24" s="6" t="s">
        <v>247</v>
      </c>
      <c r="K24" s="22" t="s">
        <v>343</v>
      </c>
    </row>
    <row r="25" ht="35.05" customHeight="1" spans="1:11" x14ac:dyDescent="0.25">
      <c r="A25" s="20" t="s">
        <v>243</v>
      </c>
      <c r="B25" s="20" t="s">
        <v>344</v>
      </c>
      <c r="C25" s="23" t="s">
        <v>18</v>
      </c>
      <c r="D25" s="20"/>
      <c r="E25" s="6"/>
      <c r="F25" s="20">
        <v>0</v>
      </c>
      <c r="G25" s="6"/>
      <c r="H25" s="6"/>
      <c r="I25" s="6" t="s">
        <v>345</v>
      </c>
      <c r="J25" s="6" t="s">
        <v>247</v>
      </c>
      <c r="K25" s="22" t="s">
        <v>346</v>
      </c>
    </row>
    <row r="26" ht="23.85" customHeight="1" spans="1:11" x14ac:dyDescent="0.25">
      <c r="A26" s="20" t="s">
        <v>243</v>
      </c>
      <c r="B26" s="20" t="s">
        <v>347</v>
      </c>
      <c r="C26" s="23" t="s">
        <v>18</v>
      </c>
      <c r="D26" s="20"/>
      <c r="E26" s="6"/>
      <c r="F26" s="20">
        <v>0</v>
      </c>
      <c r="G26" s="6"/>
      <c r="H26" s="6"/>
      <c r="I26" s="6"/>
      <c r="J26" s="6" t="s">
        <v>247</v>
      </c>
      <c r="K26" s="20"/>
    </row>
    <row r="27" ht="23.85" customHeight="1" spans="1:11" x14ac:dyDescent="0.25">
      <c r="A27" s="20" t="s">
        <v>243</v>
      </c>
      <c r="B27" s="20" t="s">
        <v>348</v>
      </c>
      <c r="C27" s="23" t="s">
        <v>18</v>
      </c>
      <c r="D27" s="20"/>
      <c r="E27" s="6"/>
      <c r="F27" s="20">
        <v>0</v>
      </c>
      <c r="G27" s="6"/>
      <c r="H27" s="6"/>
      <c r="I27" s="6"/>
      <c r="J27" s="6" t="s">
        <v>247</v>
      </c>
      <c r="K27" s="20"/>
    </row>
    <row r="28" ht="79.85" customHeight="1" spans="1:11" x14ac:dyDescent="0.25">
      <c r="A28" s="20" t="s">
        <v>243</v>
      </c>
      <c r="B28" s="20" t="s">
        <v>349</v>
      </c>
      <c r="C28" s="25" t="s">
        <v>14</v>
      </c>
      <c r="D28" s="20" t="s">
        <v>269</v>
      </c>
      <c r="E28" s="6"/>
      <c r="F28" s="20">
        <v>0</v>
      </c>
      <c r="G28" s="6" t="s">
        <v>350</v>
      </c>
      <c r="H28" s="6" t="s">
        <v>351</v>
      </c>
      <c r="I28" s="6" t="s">
        <v>352</v>
      </c>
      <c r="J28" s="6" t="s">
        <v>353</v>
      </c>
      <c r="K28" s="22" t="s">
        <v>354</v>
      </c>
    </row>
    <row r="29" ht="23.85" customHeight="1" spans="1:11" x14ac:dyDescent="0.25">
      <c r="A29" s="20" t="s">
        <v>243</v>
      </c>
      <c r="B29" s="20" t="s">
        <v>355</v>
      </c>
      <c r="C29" s="23" t="s">
        <v>18</v>
      </c>
      <c r="D29" s="20"/>
      <c r="E29" s="6"/>
      <c r="F29" s="20">
        <v>0</v>
      </c>
      <c r="G29" s="6"/>
      <c r="H29" s="6"/>
      <c r="I29" s="6"/>
      <c r="J29" s="6" t="s">
        <v>247</v>
      </c>
      <c r="K29" s="20"/>
    </row>
    <row r="30" ht="15" customHeight="1" spans="1:11" x14ac:dyDescent="0.25">
      <c r="A30" s="20" t="s">
        <v>243</v>
      </c>
      <c r="B30" s="20" t="s">
        <v>356</v>
      </c>
      <c r="C30" s="23" t="s">
        <v>18</v>
      </c>
      <c r="D30" s="20"/>
      <c r="E30" s="6"/>
      <c r="F30" s="20">
        <v>0</v>
      </c>
      <c r="G30" s="6"/>
      <c r="H30" s="6"/>
      <c r="I30" s="6"/>
      <c r="J30" s="6" t="s">
        <v>357</v>
      </c>
      <c r="K30" s="22" t="s">
        <v>358</v>
      </c>
    </row>
    <row r="31" ht="57.45" customHeight="1" spans="1:11" x14ac:dyDescent="0.25">
      <c r="A31" s="20" t="s">
        <v>243</v>
      </c>
      <c r="B31" s="20" t="s">
        <v>359</v>
      </c>
      <c r="C31" s="25" t="s">
        <v>14</v>
      </c>
      <c r="D31" s="20" t="s">
        <v>297</v>
      </c>
      <c r="E31" s="6"/>
      <c r="F31" s="20">
        <v>0</v>
      </c>
      <c r="G31" s="6"/>
      <c r="H31" s="6" t="s">
        <v>360</v>
      </c>
      <c r="I31" s="6" t="s">
        <v>361</v>
      </c>
      <c r="J31" s="6" t="s">
        <v>362</v>
      </c>
      <c r="K31" s="22" t="s">
        <v>363</v>
      </c>
    </row>
    <row r="32" ht="23.85" customHeight="1" spans="1:11" x14ac:dyDescent="0.25">
      <c r="A32" s="20" t="s">
        <v>243</v>
      </c>
      <c r="B32" s="20" t="s">
        <v>364</v>
      </c>
      <c r="C32" s="23" t="s">
        <v>18</v>
      </c>
      <c r="D32" s="20"/>
      <c r="E32" s="6"/>
      <c r="F32" s="20">
        <v>0</v>
      </c>
      <c r="G32" s="6"/>
      <c r="H32" s="6"/>
      <c r="I32" s="6"/>
      <c r="J32" s="6" t="s">
        <v>247</v>
      </c>
      <c r="K32" s="20"/>
    </row>
    <row r="33" ht="35.05" customHeight="1" spans="1:11" x14ac:dyDescent="0.25">
      <c r="A33" s="20" t="s">
        <v>243</v>
      </c>
      <c r="B33" s="20" t="s">
        <v>365</v>
      </c>
      <c r="C33" s="23" t="s">
        <v>18</v>
      </c>
      <c r="D33" s="20"/>
      <c r="E33" s="6"/>
      <c r="F33" s="20">
        <v>0</v>
      </c>
      <c r="G33" s="6"/>
      <c r="H33" s="6"/>
      <c r="I33" s="6" t="s">
        <v>366</v>
      </c>
      <c r="J33" s="6" t="s">
        <v>367</v>
      </c>
      <c r="K33" s="22" t="s">
        <v>368</v>
      </c>
    </row>
    <row r="34" ht="46.25" customHeight="1" spans="1:11" x14ac:dyDescent="0.25">
      <c r="A34" s="20" t="s">
        <v>243</v>
      </c>
      <c r="B34" s="20" t="s">
        <v>369</v>
      </c>
      <c r="C34" s="23" t="s">
        <v>18</v>
      </c>
      <c r="D34" s="20"/>
      <c r="E34" s="6"/>
      <c r="F34" s="20">
        <v>0</v>
      </c>
      <c r="G34" s="6"/>
      <c r="H34" s="6"/>
      <c r="I34" s="6" t="s">
        <v>370</v>
      </c>
      <c r="J34" s="6" t="s">
        <v>371</v>
      </c>
      <c r="K34" s="22" t="s">
        <v>372</v>
      </c>
    </row>
    <row r="35" ht="23.85" customHeight="1" spans="1:11" x14ac:dyDescent="0.25">
      <c r="A35" s="20" t="s">
        <v>243</v>
      </c>
      <c r="B35" s="20" t="s">
        <v>373</v>
      </c>
      <c r="C35" s="23" t="s">
        <v>18</v>
      </c>
      <c r="D35" s="20"/>
      <c r="E35" s="6"/>
      <c r="F35" s="20">
        <v>0</v>
      </c>
      <c r="G35" s="6"/>
      <c r="H35" s="6"/>
      <c r="I35" s="6"/>
      <c r="J35" s="6" t="s">
        <v>247</v>
      </c>
      <c r="K35" s="20"/>
    </row>
    <row r="36" ht="23.85" customHeight="1" spans="1:11" x14ac:dyDescent="0.25">
      <c r="A36" s="20" t="s">
        <v>243</v>
      </c>
      <c r="B36" s="20" t="s">
        <v>374</v>
      </c>
      <c r="C36" s="23" t="s">
        <v>18</v>
      </c>
      <c r="D36" s="20"/>
      <c r="E36" s="6"/>
      <c r="F36" s="20">
        <v>0</v>
      </c>
      <c r="G36" s="6"/>
      <c r="H36" s="6"/>
      <c r="I36" s="6"/>
      <c r="J36" s="6" t="s">
        <v>247</v>
      </c>
      <c r="K36" s="20"/>
    </row>
    <row r="37" ht="23.85" customHeight="1" spans="1:11" x14ac:dyDescent="0.25">
      <c r="A37" s="20" t="s">
        <v>243</v>
      </c>
      <c r="B37" s="20" t="s">
        <v>375</v>
      </c>
      <c r="C37" s="23" t="s">
        <v>18</v>
      </c>
      <c r="D37" s="20"/>
      <c r="E37" s="6"/>
      <c r="F37" s="20">
        <v>0</v>
      </c>
      <c r="G37" s="6"/>
      <c r="H37" s="6"/>
      <c r="I37" s="6" t="s">
        <v>376</v>
      </c>
      <c r="J37" s="6" t="s">
        <v>377</v>
      </c>
      <c r="K37" s="20"/>
    </row>
    <row r="38" ht="23.85" customHeight="1" spans="1:11" x14ac:dyDescent="0.25">
      <c r="A38" s="20" t="s">
        <v>243</v>
      </c>
      <c r="B38" s="20" t="s">
        <v>378</v>
      </c>
      <c r="C38" s="23" t="s">
        <v>18</v>
      </c>
      <c r="D38" s="20"/>
      <c r="E38" s="6"/>
      <c r="F38" s="20">
        <v>0</v>
      </c>
      <c r="G38" s="6"/>
      <c r="H38" s="6"/>
      <c r="I38" s="6"/>
      <c r="J38" s="6" t="s">
        <v>247</v>
      </c>
      <c r="K38" s="20"/>
    </row>
    <row r="39" ht="35.05" customHeight="1" spans="1:11" x14ac:dyDescent="0.25">
      <c r="A39" s="20" t="s">
        <v>243</v>
      </c>
      <c r="B39" s="20" t="s">
        <v>379</v>
      </c>
      <c r="C39" s="23" t="s">
        <v>18</v>
      </c>
      <c r="D39" s="20"/>
      <c r="E39" s="6"/>
      <c r="F39" s="20">
        <v>0</v>
      </c>
      <c r="G39" s="6"/>
      <c r="H39" s="6"/>
      <c r="I39" s="6" t="s">
        <v>380</v>
      </c>
      <c r="J39" s="6" t="s">
        <v>381</v>
      </c>
      <c r="K39" s="22" t="s">
        <v>382</v>
      </c>
    </row>
    <row r="40" ht="46.25" customHeight="1" spans="1:11" x14ac:dyDescent="0.25">
      <c r="A40" s="20" t="s">
        <v>243</v>
      </c>
      <c r="B40" s="20" t="s">
        <v>383</v>
      </c>
      <c r="C40" s="23" t="s">
        <v>18</v>
      </c>
      <c r="D40" s="20"/>
      <c r="E40" s="6"/>
      <c r="F40" s="20">
        <v>0</v>
      </c>
      <c r="G40" s="6" t="s">
        <v>384</v>
      </c>
      <c r="H40" s="6"/>
      <c r="I40" s="6" t="s">
        <v>385</v>
      </c>
      <c r="J40" s="6" t="s">
        <v>247</v>
      </c>
      <c r="K40" s="22" t="s">
        <v>386</v>
      </c>
    </row>
    <row r="41" ht="68.65" customHeight="1" spans="1:11" x14ac:dyDescent="0.25">
      <c r="A41" s="20" t="s">
        <v>243</v>
      </c>
      <c r="B41" s="20" t="s">
        <v>387</v>
      </c>
      <c r="C41" s="24" t="s">
        <v>8</v>
      </c>
      <c r="D41" s="20" t="s">
        <v>269</v>
      </c>
      <c r="E41" s="6" t="s">
        <v>388</v>
      </c>
      <c r="F41" s="20">
        <v>18</v>
      </c>
      <c r="G41" s="6" t="s">
        <v>389</v>
      </c>
      <c r="H41" s="6" t="s">
        <v>390</v>
      </c>
      <c r="I41" s="6" t="s">
        <v>391</v>
      </c>
      <c r="J41" s="6" t="s">
        <v>392</v>
      </c>
      <c r="K41" s="22" t="s">
        <v>393</v>
      </c>
    </row>
    <row r="42" ht="15" customHeight="1" spans="1:11" x14ac:dyDescent="0.25">
      <c r="A42" s="20" t="s">
        <v>243</v>
      </c>
      <c r="B42" s="20" t="s">
        <v>394</v>
      </c>
      <c r="C42" s="23" t="s">
        <v>18</v>
      </c>
      <c r="D42" s="20"/>
      <c r="E42" s="6"/>
      <c r="F42" s="20">
        <v>0</v>
      </c>
      <c r="G42" s="6"/>
      <c r="H42" s="6"/>
      <c r="I42" s="6"/>
      <c r="J42" s="6" t="s">
        <v>395</v>
      </c>
      <c r="K42" s="22" t="s">
        <v>396</v>
      </c>
    </row>
    <row r="43" ht="102.2" customHeight="1" spans="1:11" x14ac:dyDescent="0.25">
      <c r="A43" s="20" t="s">
        <v>397</v>
      </c>
      <c r="B43" s="20" t="s">
        <v>398</v>
      </c>
      <c r="C43" s="24" t="s">
        <v>8</v>
      </c>
      <c r="D43" s="20" t="s">
        <v>269</v>
      </c>
      <c r="E43" s="6" t="s">
        <v>399</v>
      </c>
      <c r="F43" s="20">
        <v>30</v>
      </c>
      <c r="G43" s="6" t="s">
        <v>400</v>
      </c>
      <c r="H43" s="6" t="s">
        <v>401</v>
      </c>
      <c r="I43" s="6" t="s">
        <v>402</v>
      </c>
      <c r="J43" s="6"/>
      <c r="K43" s="22" t="s">
        <v>403</v>
      </c>
    </row>
    <row r="44" ht="102.2" customHeight="1" spans="1:11" x14ac:dyDescent="0.25">
      <c r="A44" s="20" t="s">
        <v>404</v>
      </c>
      <c r="B44" s="20" t="s">
        <v>404</v>
      </c>
      <c r="C44" s="21" t="s">
        <v>6</v>
      </c>
      <c r="D44" s="20" t="s">
        <v>236</v>
      </c>
      <c r="E44" s="6" t="s">
        <v>405</v>
      </c>
      <c r="F44" s="20">
        <v>20</v>
      </c>
      <c r="G44" s="6" t="s">
        <v>406</v>
      </c>
      <c r="H44" s="6" t="s">
        <v>407</v>
      </c>
      <c r="I44" s="6" t="s">
        <v>408</v>
      </c>
      <c r="J44" s="6"/>
      <c r="K44" s="22" t="s">
        <v>409</v>
      </c>
    </row>
    <row r="45" ht="57.45" customHeight="1" spans="1:11" x14ac:dyDescent="0.25">
      <c r="A45" s="20" t="s">
        <v>410</v>
      </c>
      <c r="B45" s="20" t="s">
        <v>411</v>
      </c>
      <c r="C45" s="23" t="s">
        <v>18</v>
      </c>
      <c r="D45" s="20"/>
      <c r="E45" s="6"/>
      <c r="F45" s="20">
        <v>0</v>
      </c>
      <c r="G45" s="6" t="s">
        <v>412</v>
      </c>
      <c r="H45" s="6" t="s">
        <v>413</v>
      </c>
      <c r="I45" s="6" t="s">
        <v>414</v>
      </c>
      <c r="J45" s="6" t="s">
        <v>415</v>
      </c>
      <c r="K45" s="22" t="s">
        <v>416</v>
      </c>
    </row>
    <row r="46" ht="46.25" customHeight="1" spans="1:11" x14ac:dyDescent="0.25">
      <c r="A46" s="20" t="s">
        <v>417</v>
      </c>
      <c r="B46" s="20" t="s">
        <v>417</v>
      </c>
      <c r="C46" s="23" t="s">
        <v>18</v>
      </c>
      <c r="D46" s="20"/>
      <c r="E46" s="6"/>
      <c r="F46" s="20">
        <v>0</v>
      </c>
      <c r="G46" s="6" t="s">
        <v>418</v>
      </c>
      <c r="H46" s="6"/>
      <c r="I46" s="6" t="s">
        <v>419</v>
      </c>
      <c r="J46" s="6" t="s">
        <v>420</v>
      </c>
      <c r="K46" s="22" t="s">
        <v>421</v>
      </c>
    </row>
    <row r="47" ht="46.25" customHeight="1" spans="1:11" x14ac:dyDescent="0.25">
      <c r="A47" s="20" t="s">
        <v>422</v>
      </c>
      <c r="B47" s="20" t="s">
        <v>423</v>
      </c>
      <c r="C47" s="21" t="s">
        <v>6</v>
      </c>
      <c r="D47" s="20" t="s">
        <v>236</v>
      </c>
      <c r="E47" s="6" t="s">
        <v>424</v>
      </c>
      <c r="F47" s="20">
        <v>3</v>
      </c>
      <c r="G47" s="6" t="s">
        <v>425</v>
      </c>
      <c r="H47" s="6" t="s">
        <v>426</v>
      </c>
      <c r="I47" s="6" t="s">
        <v>427</v>
      </c>
      <c r="J47" s="6"/>
      <c r="K47" s="22" t="s">
        <v>428</v>
      </c>
    </row>
    <row r="48" ht="68.65" customHeight="1" spans="1:11" x14ac:dyDescent="0.25">
      <c r="A48" s="20" t="s">
        <v>429</v>
      </c>
      <c r="B48" s="20" t="s">
        <v>430</v>
      </c>
      <c r="C48" s="24" t="s">
        <v>8</v>
      </c>
      <c r="D48" s="20" t="s">
        <v>269</v>
      </c>
      <c r="E48" s="6" t="s">
        <v>431</v>
      </c>
      <c r="F48" s="20">
        <v>13</v>
      </c>
      <c r="G48" s="6" t="s">
        <v>432</v>
      </c>
      <c r="H48" s="6" t="s">
        <v>433</v>
      </c>
      <c r="I48" s="6" t="s">
        <v>434</v>
      </c>
      <c r="J48" s="6"/>
      <c r="K48" s="22" t="s">
        <v>435</v>
      </c>
    </row>
    <row r="49" ht="79.85" customHeight="1" spans="1:11" x14ac:dyDescent="0.25">
      <c r="A49" s="20" t="s">
        <v>436</v>
      </c>
      <c r="B49" s="20" t="s">
        <v>436</v>
      </c>
      <c r="C49" s="21" t="s">
        <v>6</v>
      </c>
      <c r="D49" s="20" t="s">
        <v>236</v>
      </c>
      <c r="E49" s="6" t="s">
        <v>437</v>
      </c>
      <c r="F49" s="20">
        <v>5</v>
      </c>
      <c r="G49" s="6" t="s">
        <v>438</v>
      </c>
      <c r="H49" s="6" t="s">
        <v>439</v>
      </c>
      <c r="I49" s="6" t="s">
        <v>440</v>
      </c>
      <c r="J49" s="6"/>
      <c r="K49" s="22" t="s">
        <v>441</v>
      </c>
    </row>
    <row r="50" ht="91" customHeight="1" spans="1:11" x14ac:dyDescent="0.25">
      <c r="A50" s="20" t="s">
        <v>442</v>
      </c>
      <c r="B50" s="20" t="s">
        <v>442</v>
      </c>
      <c r="C50" s="21" t="s">
        <v>6</v>
      </c>
      <c r="D50" s="20" t="s">
        <v>236</v>
      </c>
      <c r="E50" s="6" t="s">
        <v>443</v>
      </c>
      <c r="F50" s="20">
        <v>18</v>
      </c>
      <c r="G50" s="6" t="s">
        <v>444</v>
      </c>
      <c r="H50" s="6" t="s">
        <v>445</v>
      </c>
      <c r="I50" s="6" t="s">
        <v>446</v>
      </c>
      <c r="J50" s="6" t="s">
        <v>447</v>
      </c>
      <c r="K50" s="22" t="s">
        <v>448</v>
      </c>
    </row>
    <row r="51" ht="68.65" customHeight="1" spans="1:11" x14ac:dyDescent="0.25">
      <c r="A51" s="20" t="s">
        <v>449</v>
      </c>
      <c r="B51" s="20" t="s">
        <v>449</v>
      </c>
      <c r="C51" s="21" t="s">
        <v>6</v>
      </c>
      <c r="D51" s="20" t="s">
        <v>236</v>
      </c>
      <c r="E51" s="6" t="s">
        <v>450</v>
      </c>
      <c r="F51" s="20">
        <v>18</v>
      </c>
      <c r="G51" s="6" t="s">
        <v>451</v>
      </c>
      <c r="H51" s="6" t="s">
        <v>452</v>
      </c>
      <c r="I51" s="6" t="s">
        <v>453</v>
      </c>
      <c r="J51" s="6"/>
      <c r="K51" s="22" t="s">
        <v>454</v>
      </c>
    </row>
    <row r="52" ht="91" customHeight="1" spans="1:11" x14ac:dyDescent="0.25">
      <c r="A52" s="20" t="s">
        <v>455</v>
      </c>
      <c r="B52" s="20" t="s">
        <v>455</v>
      </c>
      <c r="C52" s="24" t="s">
        <v>8</v>
      </c>
      <c r="D52" s="20" t="s">
        <v>269</v>
      </c>
      <c r="E52" s="6" t="s">
        <v>456</v>
      </c>
      <c r="F52" s="20">
        <v>12</v>
      </c>
      <c r="G52" s="6" t="s">
        <v>457</v>
      </c>
      <c r="H52" s="6" t="s">
        <v>458</v>
      </c>
      <c r="I52" s="6" t="s">
        <v>459</v>
      </c>
      <c r="J52" s="6"/>
      <c r="K52" s="22" t="s">
        <v>460</v>
      </c>
    </row>
    <row r="53" ht="46.25" customHeight="1" spans="1:11" x14ac:dyDescent="0.25">
      <c r="A53" s="20" t="s">
        <v>461</v>
      </c>
      <c r="B53" s="20" t="s">
        <v>462</v>
      </c>
      <c r="C53" s="25" t="s">
        <v>14</v>
      </c>
      <c r="D53" s="20" t="s">
        <v>297</v>
      </c>
      <c r="E53" s="6"/>
      <c r="F53" s="20">
        <v>0</v>
      </c>
      <c r="G53" s="6" t="s">
        <v>463</v>
      </c>
      <c r="H53" s="6" t="s">
        <v>464</v>
      </c>
      <c r="I53" s="6" t="s">
        <v>465</v>
      </c>
      <c r="J53" s="6" t="s">
        <v>466</v>
      </c>
      <c r="K53" s="22" t="s">
        <v>467</v>
      </c>
    </row>
    <row r="54" ht="124.6" customHeight="1" spans="1:11" x14ac:dyDescent="0.25">
      <c r="A54" s="20" t="s">
        <v>468</v>
      </c>
      <c r="B54" s="20" t="s">
        <v>469</v>
      </c>
      <c r="C54" s="24" t="s">
        <v>8</v>
      </c>
      <c r="D54" s="20" t="s">
        <v>236</v>
      </c>
      <c r="E54" s="6" t="s">
        <v>470</v>
      </c>
      <c r="F54" s="20">
        <v>6</v>
      </c>
      <c r="G54" s="6" t="s">
        <v>471</v>
      </c>
      <c r="H54" s="6" t="s">
        <v>472</v>
      </c>
      <c r="I54" s="6" t="s">
        <v>473</v>
      </c>
      <c r="J54" s="6" t="s">
        <v>474</v>
      </c>
      <c r="K54" s="22" t="s">
        <v>475</v>
      </c>
    </row>
    <row r="55" ht="57.45" customHeight="1" spans="1:11" x14ac:dyDescent="0.25">
      <c r="A55" s="20" t="s">
        <v>476</v>
      </c>
      <c r="B55" s="20" t="s">
        <v>476</v>
      </c>
      <c r="C55" s="25" t="s">
        <v>14</v>
      </c>
      <c r="D55" s="20" t="s">
        <v>269</v>
      </c>
      <c r="E55" s="6"/>
      <c r="F55" s="20">
        <v>0</v>
      </c>
      <c r="G55" s="6" t="s">
        <v>477</v>
      </c>
      <c r="H55" s="6" t="s">
        <v>478</v>
      </c>
      <c r="I55" s="6" t="s">
        <v>479</v>
      </c>
      <c r="J55" s="6" t="s">
        <v>480</v>
      </c>
      <c r="K55" s="22" t="s">
        <v>481</v>
      </c>
    </row>
    <row r="56" ht="124.6" customHeight="1" spans="1:11" x14ac:dyDescent="0.25">
      <c r="A56" s="20" t="s">
        <v>482</v>
      </c>
      <c r="B56" s="20" t="s">
        <v>483</v>
      </c>
      <c r="C56" s="21" t="s">
        <v>6</v>
      </c>
      <c r="D56" s="20" t="s">
        <v>236</v>
      </c>
      <c r="E56" s="6" t="s">
        <v>484</v>
      </c>
      <c r="F56" s="20">
        <v>12</v>
      </c>
      <c r="G56" s="6" t="s">
        <v>485</v>
      </c>
      <c r="H56" s="6" t="s">
        <v>486</v>
      </c>
      <c r="I56" s="6" t="s">
        <v>487</v>
      </c>
      <c r="J56" s="6" t="s">
        <v>488</v>
      </c>
      <c r="K56" s="22" t="s">
        <v>489</v>
      </c>
    </row>
    <row r="57" ht="57.45" customHeight="1" spans="1:11" x14ac:dyDescent="0.25">
      <c r="A57" s="20" t="s">
        <v>490</v>
      </c>
      <c r="B57" s="20" t="s">
        <v>490</v>
      </c>
      <c r="C57" s="23" t="s">
        <v>18</v>
      </c>
      <c r="D57" s="20"/>
      <c r="E57" s="6"/>
      <c r="F57" s="20">
        <v>0</v>
      </c>
      <c r="G57" s="6" t="s">
        <v>463</v>
      </c>
      <c r="H57" s="6"/>
      <c r="I57" s="6" t="s">
        <v>491</v>
      </c>
      <c r="J57" s="6" t="s">
        <v>247</v>
      </c>
      <c r="K57" s="22" t="s">
        <v>492</v>
      </c>
    </row>
    <row r="58" ht="35.05" customHeight="1" spans="1:11" x14ac:dyDescent="0.25">
      <c r="A58" s="20" t="s">
        <v>493</v>
      </c>
      <c r="B58" s="20" t="s">
        <v>494</v>
      </c>
      <c r="C58" s="23" t="s">
        <v>18</v>
      </c>
      <c r="D58" s="20"/>
      <c r="E58" s="6"/>
      <c r="F58" s="20">
        <v>0</v>
      </c>
      <c r="G58" s="6" t="s">
        <v>495</v>
      </c>
      <c r="H58" s="6"/>
      <c r="I58" s="6" t="s">
        <v>496</v>
      </c>
      <c r="J58" s="6" t="s">
        <v>497</v>
      </c>
      <c r="K58" s="22" t="s">
        <v>498</v>
      </c>
    </row>
    <row r="59" ht="91" customHeight="1" spans="1:11" x14ac:dyDescent="0.25">
      <c r="A59" s="20" t="s">
        <v>499</v>
      </c>
      <c r="B59" s="20" t="s">
        <v>500</v>
      </c>
      <c r="C59" s="24" t="s">
        <v>8</v>
      </c>
      <c r="D59" s="20" t="s">
        <v>269</v>
      </c>
      <c r="E59" s="6" t="s">
        <v>501</v>
      </c>
      <c r="F59" s="20">
        <v>8</v>
      </c>
      <c r="G59" s="6" t="s">
        <v>502</v>
      </c>
      <c r="H59" s="6" t="s">
        <v>503</v>
      </c>
      <c r="I59" s="6" t="s">
        <v>504</v>
      </c>
      <c r="J59" s="6"/>
      <c r="K59" s="22" t="s">
        <v>505</v>
      </c>
    </row>
    <row r="60" ht="68.65" customHeight="1" spans="1:11" x14ac:dyDescent="0.25">
      <c r="A60" s="20" t="s">
        <v>506</v>
      </c>
      <c r="B60" s="20" t="s">
        <v>506</v>
      </c>
      <c r="C60" s="25" t="s">
        <v>16</v>
      </c>
      <c r="D60" s="20" t="s">
        <v>236</v>
      </c>
      <c r="E60" s="6"/>
      <c r="F60" s="20">
        <v>0</v>
      </c>
      <c r="G60" s="6" t="s">
        <v>507</v>
      </c>
      <c r="H60" s="6" t="s">
        <v>508</v>
      </c>
      <c r="I60" s="6" t="s">
        <v>509</v>
      </c>
      <c r="J60" s="6" t="s">
        <v>510</v>
      </c>
      <c r="K60" s="22" t="s">
        <v>511</v>
      </c>
    </row>
    <row r="61" ht="79.85" customHeight="1" spans="1:11" x14ac:dyDescent="0.25">
      <c r="A61" s="20" t="s">
        <v>512</v>
      </c>
      <c r="B61" s="20" t="s">
        <v>512</v>
      </c>
      <c r="C61" s="24" t="s">
        <v>8</v>
      </c>
      <c r="D61" s="20" t="s">
        <v>297</v>
      </c>
      <c r="E61" s="6" t="s">
        <v>513</v>
      </c>
      <c r="F61" s="20">
        <v>4</v>
      </c>
      <c r="G61" s="6" t="s">
        <v>514</v>
      </c>
      <c r="H61" s="6" t="s">
        <v>515</v>
      </c>
      <c r="I61" s="6" t="s">
        <v>516</v>
      </c>
      <c r="J61" s="6" t="s">
        <v>517</v>
      </c>
      <c r="K61" s="22" t="s">
        <v>518</v>
      </c>
    </row>
    <row r="62" ht="23.85" customHeight="1" spans="1:11" x14ac:dyDescent="0.25">
      <c r="A62" s="20" t="s">
        <v>519</v>
      </c>
      <c r="B62" s="20" t="s">
        <v>520</v>
      </c>
      <c r="C62" s="23" t="s">
        <v>18</v>
      </c>
      <c r="D62" s="20"/>
      <c r="E62" s="6"/>
      <c r="F62" s="20">
        <v>0</v>
      </c>
      <c r="G62" s="6" t="s">
        <v>463</v>
      </c>
      <c r="H62" s="6"/>
      <c r="I62" s="6" t="s">
        <v>521</v>
      </c>
      <c r="J62" s="6" t="s">
        <v>247</v>
      </c>
      <c r="K62" s="22" t="s">
        <v>522</v>
      </c>
    </row>
    <row r="63" ht="91" customHeight="1" spans="1:11" x14ac:dyDescent="0.25">
      <c r="A63" s="20" t="s">
        <v>523</v>
      </c>
      <c r="B63" s="20" t="s">
        <v>524</v>
      </c>
      <c r="C63" s="21" t="s">
        <v>6</v>
      </c>
      <c r="D63" s="20" t="s">
        <v>236</v>
      </c>
      <c r="E63" s="6" t="s">
        <v>525</v>
      </c>
      <c r="F63" s="20">
        <v>6</v>
      </c>
      <c r="G63" s="6" t="s">
        <v>526</v>
      </c>
      <c r="H63" s="6" t="s">
        <v>527</v>
      </c>
      <c r="I63" s="6" t="s">
        <v>528</v>
      </c>
      <c r="J63" s="6" t="s">
        <v>529</v>
      </c>
      <c r="K63" s="22" t="s">
        <v>530</v>
      </c>
    </row>
    <row r="64" ht="79.85" customHeight="1" spans="1:11" x14ac:dyDescent="0.25">
      <c r="A64" s="20" t="s">
        <v>531</v>
      </c>
      <c r="B64" s="20" t="s">
        <v>532</v>
      </c>
      <c r="C64" s="24" t="s">
        <v>8</v>
      </c>
      <c r="D64" s="20" t="s">
        <v>269</v>
      </c>
      <c r="E64" s="6" t="s">
        <v>533</v>
      </c>
      <c r="F64" s="20">
        <v>15</v>
      </c>
      <c r="G64" s="6" t="s">
        <v>534</v>
      </c>
      <c r="H64" s="6" t="s">
        <v>535</v>
      </c>
      <c r="I64" s="6" t="s">
        <v>536</v>
      </c>
      <c r="J64" s="6"/>
      <c r="K64" s="22" t="s">
        <v>537</v>
      </c>
    </row>
    <row r="65" ht="23.85" customHeight="1" spans="1:11" x14ac:dyDescent="0.25">
      <c r="A65" s="20" t="s">
        <v>538</v>
      </c>
      <c r="B65" s="20" t="s">
        <v>539</v>
      </c>
      <c r="C65" s="23" t="s">
        <v>18</v>
      </c>
      <c r="D65" s="20"/>
      <c r="E65" s="6"/>
      <c r="F65" s="20">
        <v>0</v>
      </c>
      <c r="G65" s="6" t="s">
        <v>463</v>
      </c>
      <c r="H65" s="6"/>
      <c r="I65" s="6" t="s">
        <v>540</v>
      </c>
      <c r="J65" s="6" t="s">
        <v>247</v>
      </c>
      <c r="K65" s="22" t="s">
        <v>541</v>
      </c>
    </row>
    <row r="66" ht="35.05" customHeight="1" spans="1:11" x14ac:dyDescent="0.25">
      <c r="A66" s="20" t="s">
        <v>542</v>
      </c>
      <c r="B66" s="20" t="s">
        <v>542</v>
      </c>
      <c r="C66" s="24" t="s">
        <v>8</v>
      </c>
      <c r="D66" s="20" t="s">
        <v>269</v>
      </c>
      <c r="E66" s="6" t="s">
        <v>543</v>
      </c>
      <c r="F66" s="20">
        <v>13</v>
      </c>
      <c r="G66" s="6" t="s">
        <v>544</v>
      </c>
      <c r="H66" s="6" t="s">
        <v>545</v>
      </c>
      <c r="I66" s="6" t="s">
        <v>546</v>
      </c>
      <c r="J66" s="6" t="s">
        <v>547</v>
      </c>
      <c r="K66" s="22" t="s">
        <v>548</v>
      </c>
    </row>
    <row r="67" ht="79.85" customHeight="1" spans="1:11" x14ac:dyDescent="0.25">
      <c r="A67" s="20" t="s">
        <v>549</v>
      </c>
      <c r="B67" s="20" t="s">
        <v>550</v>
      </c>
      <c r="C67" s="24" t="s">
        <v>8</v>
      </c>
      <c r="D67" s="20" t="s">
        <v>269</v>
      </c>
      <c r="E67" s="6" t="s">
        <v>551</v>
      </c>
      <c r="F67" s="20">
        <v>21</v>
      </c>
      <c r="G67" s="6" t="s">
        <v>552</v>
      </c>
      <c r="H67" s="6" t="s">
        <v>553</v>
      </c>
      <c r="I67" s="6" t="s">
        <v>554</v>
      </c>
      <c r="J67" s="6"/>
      <c r="K67" s="22" t="s">
        <v>555</v>
      </c>
    </row>
    <row r="68" ht="57.45" customHeight="1" spans="1:11" x14ac:dyDescent="0.25">
      <c r="A68" s="20" t="s">
        <v>556</v>
      </c>
      <c r="B68" s="20" t="s">
        <v>557</v>
      </c>
      <c r="C68" s="24" t="s">
        <v>8</v>
      </c>
      <c r="D68" s="20" t="s">
        <v>269</v>
      </c>
      <c r="E68" s="6" t="s">
        <v>558</v>
      </c>
      <c r="F68" s="20">
        <v>9</v>
      </c>
      <c r="G68" s="6" t="s">
        <v>559</v>
      </c>
      <c r="H68" s="6" t="s">
        <v>560</v>
      </c>
      <c r="I68" s="6" t="s">
        <v>561</v>
      </c>
      <c r="J68" s="6"/>
      <c r="K68" s="22" t="s">
        <v>562</v>
      </c>
    </row>
    <row r="69" ht="135.8" customHeight="1" spans="1:11" x14ac:dyDescent="0.25">
      <c r="A69" s="20" t="s">
        <v>563</v>
      </c>
      <c r="B69" s="20" t="s">
        <v>564</v>
      </c>
      <c r="C69" s="21" t="s">
        <v>6</v>
      </c>
      <c r="D69" s="20" t="s">
        <v>236</v>
      </c>
      <c r="E69" s="6" t="s">
        <v>565</v>
      </c>
      <c r="F69" s="20">
        <v>3</v>
      </c>
      <c r="G69" s="6" t="s">
        <v>566</v>
      </c>
      <c r="H69" s="6" t="s">
        <v>567</v>
      </c>
      <c r="I69" s="6" t="s">
        <v>568</v>
      </c>
      <c r="J69" s="6" t="s">
        <v>569</v>
      </c>
      <c r="K69" s="22" t="s">
        <v>570</v>
      </c>
    </row>
    <row r="70" ht="79.85" customHeight="1" spans="1:11" x14ac:dyDescent="0.25">
      <c r="A70" s="20" t="s">
        <v>571</v>
      </c>
      <c r="B70" s="20" t="s">
        <v>572</v>
      </c>
      <c r="C70" s="24" t="s">
        <v>8</v>
      </c>
      <c r="D70" s="20" t="s">
        <v>269</v>
      </c>
      <c r="E70" s="6" t="s">
        <v>573</v>
      </c>
      <c r="F70" s="20">
        <v>15</v>
      </c>
      <c r="G70" s="6" t="s">
        <v>574</v>
      </c>
      <c r="H70" s="6" t="s">
        <v>575</v>
      </c>
      <c r="I70" s="6" t="s">
        <v>576</v>
      </c>
      <c r="J70" s="6"/>
      <c r="K70" s="22" t="s">
        <v>577</v>
      </c>
    </row>
    <row r="71" ht="23.85" customHeight="1" spans="1:11" x14ac:dyDescent="0.25">
      <c r="A71" s="20" t="s">
        <v>578</v>
      </c>
      <c r="B71" s="20" t="s">
        <v>579</v>
      </c>
      <c r="C71" s="23" t="s">
        <v>18</v>
      </c>
      <c r="D71" s="20"/>
      <c r="E71" s="6"/>
      <c r="F71" s="20">
        <v>0</v>
      </c>
      <c r="G71" s="6" t="s">
        <v>463</v>
      </c>
      <c r="H71" s="6"/>
      <c r="I71" s="6" t="s">
        <v>580</v>
      </c>
      <c r="J71" s="6" t="s">
        <v>247</v>
      </c>
      <c r="K71" s="22" t="s">
        <v>581</v>
      </c>
    </row>
    <row r="72" ht="79.85" customHeight="1" spans="1:11" x14ac:dyDescent="0.25">
      <c r="A72" s="20" t="s">
        <v>582</v>
      </c>
      <c r="B72" s="20" t="s">
        <v>583</v>
      </c>
      <c r="C72" s="25" t="s">
        <v>14</v>
      </c>
      <c r="D72" s="20" t="s">
        <v>236</v>
      </c>
      <c r="E72" s="6"/>
      <c r="F72" s="20">
        <v>0</v>
      </c>
      <c r="G72" s="6" t="s">
        <v>584</v>
      </c>
      <c r="H72" s="6" t="s">
        <v>585</v>
      </c>
      <c r="I72" s="6" t="s">
        <v>586</v>
      </c>
      <c r="J72" s="6" t="s">
        <v>587</v>
      </c>
      <c r="K72" s="22" t="s">
        <v>588</v>
      </c>
    </row>
    <row r="73" ht="68.65" customHeight="1" spans="1:11" x14ac:dyDescent="0.25">
      <c r="A73" s="20" t="s">
        <v>589</v>
      </c>
      <c r="B73" s="20" t="s">
        <v>589</v>
      </c>
      <c r="C73" s="21" t="s">
        <v>6</v>
      </c>
      <c r="D73" s="20" t="s">
        <v>236</v>
      </c>
      <c r="E73" s="6" t="s">
        <v>590</v>
      </c>
      <c r="F73" s="20">
        <v>20</v>
      </c>
      <c r="G73" s="6" t="s">
        <v>591</v>
      </c>
      <c r="H73" s="6" t="s">
        <v>592</v>
      </c>
      <c r="I73" s="6" t="s">
        <v>593</v>
      </c>
      <c r="J73" s="6"/>
      <c r="K73" s="22" t="s">
        <v>594</v>
      </c>
    </row>
    <row r="74" ht="15" customHeight="1" spans="1:11" x14ac:dyDescent="0.25">
      <c r="A74" s="20" t="s">
        <v>595</v>
      </c>
      <c r="B74" s="20" t="s">
        <v>595</v>
      </c>
      <c r="C74" s="23" t="s">
        <v>18</v>
      </c>
      <c r="D74" s="20"/>
      <c r="E74" s="6"/>
      <c r="F74" s="20">
        <v>0</v>
      </c>
      <c r="G74" s="6" t="s">
        <v>412</v>
      </c>
      <c r="H74" s="6"/>
      <c r="I74" s="6"/>
      <c r="J74" s="6" t="s">
        <v>596</v>
      </c>
      <c r="K74" s="20"/>
    </row>
    <row r="75" ht="79.85" customHeight="1" spans="1:11" x14ac:dyDescent="0.25">
      <c r="A75" s="20" t="s">
        <v>597</v>
      </c>
      <c r="B75" s="20" t="s">
        <v>597</v>
      </c>
      <c r="C75" s="24" t="s">
        <v>8</v>
      </c>
      <c r="D75" s="20" t="s">
        <v>269</v>
      </c>
      <c r="E75" s="6" t="s">
        <v>598</v>
      </c>
      <c r="F75" s="20">
        <v>10</v>
      </c>
      <c r="G75" s="6" t="s">
        <v>599</v>
      </c>
      <c r="H75" s="6" t="s">
        <v>600</v>
      </c>
      <c r="I75" s="6" t="s">
        <v>601</v>
      </c>
      <c r="J75" s="6" t="s">
        <v>602</v>
      </c>
      <c r="K75" s="22" t="s">
        <v>603</v>
      </c>
    </row>
    <row r="76" ht="124.6" customHeight="1" spans="1:11" x14ac:dyDescent="0.25">
      <c r="A76" s="20" t="s">
        <v>604</v>
      </c>
      <c r="B76" s="20" t="s">
        <v>605</v>
      </c>
      <c r="C76" s="26" t="s">
        <v>12</v>
      </c>
      <c r="D76" s="20" t="s">
        <v>297</v>
      </c>
      <c r="E76" s="6" t="s">
        <v>606</v>
      </c>
      <c r="F76" s="20">
        <v>14</v>
      </c>
      <c r="G76" s="6" t="s">
        <v>607</v>
      </c>
      <c r="H76" s="6" t="s">
        <v>608</v>
      </c>
      <c r="I76" s="6" t="s">
        <v>609</v>
      </c>
      <c r="J76" s="6" t="s">
        <v>610</v>
      </c>
      <c r="K76" s="22" t="s">
        <v>611</v>
      </c>
    </row>
    <row r="77" ht="23.85" customHeight="1" spans="1:11" x14ac:dyDescent="0.25">
      <c r="A77" s="20" t="s">
        <v>612</v>
      </c>
      <c r="B77" s="20" t="s">
        <v>613</v>
      </c>
      <c r="C77" s="23" t="s">
        <v>18</v>
      </c>
      <c r="D77" s="20"/>
      <c r="E77" s="6"/>
      <c r="F77" s="20">
        <v>0</v>
      </c>
      <c r="G77" s="6" t="s">
        <v>463</v>
      </c>
      <c r="H77" s="6"/>
      <c r="I77" s="6" t="s">
        <v>614</v>
      </c>
      <c r="J77" s="6" t="s">
        <v>247</v>
      </c>
      <c r="K77" s="22" t="s">
        <v>615</v>
      </c>
    </row>
    <row r="78" ht="46.25" customHeight="1" spans="1:11" x14ac:dyDescent="0.25">
      <c r="A78" s="20" t="s">
        <v>616</v>
      </c>
      <c r="B78" s="20" t="s">
        <v>617</v>
      </c>
      <c r="C78" s="25" t="s">
        <v>14</v>
      </c>
      <c r="D78" s="20" t="s">
        <v>236</v>
      </c>
      <c r="E78" s="6"/>
      <c r="F78" s="20">
        <v>0</v>
      </c>
      <c r="G78" s="6" t="s">
        <v>618</v>
      </c>
      <c r="H78" s="6" t="s">
        <v>619</v>
      </c>
      <c r="I78" s="6" t="s">
        <v>620</v>
      </c>
      <c r="J78" s="6" t="s">
        <v>621</v>
      </c>
      <c r="K78" s="22" t="s">
        <v>622</v>
      </c>
    </row>
    <row r="79" ht="124.6" customHeight="1" spans="1:11" x14ac:dyDescent="0.25">
      <c r="A79" s="20" t="s">
        <v>623</v>
      </c>
      <c r="B79" s="20" t="s">
        <v>623</v>
      </c>
      <c r="C79" s="24" t="s">
        <v>8</v>
      </c>
      <c r="D79" s="20" t="s">
        <v>269</v>
      </c>
      <c r="E79" s="6" t="s">
        <v>624</v>
      </c>
      <c r="F79" s="20">
        <v>15</v>
      </c>
      <c r="G79" s="6" t="s">
        <v>625</v>
      </c>
      <c r="H79" s="6" t="s">
        <v>626</v>
      </c>
      <c r="I79" s="6" t="s">
        <v>627</v>
      </c>
      <c r="J79" s="6"/>
      <c r="K79" s="22" t="s">
        <v>628</v>
      </c>
    </row>
    <row r="80" ht="46.25" customHeight="1" spans="1:11" x14ac:dyDescent="0.25">
      <c r="A80" s="20" t="s">
        <v>629</v>
      </c>
      <c r="B80" s="20" t="s">
        <v>629</v>
      </c>
      <c r="C80" s="25" t="s">
        <v>14</v>
      </c>
      <c r="D80" s="20" t="s">
        <v>297</v>
      </c>
      <c r="E80" s="6"/>
      <c r="F80" s="20">
        <v>0</v>
      </c>
      <c r="G80" s="6" t="s">
        <v>463</v>
      </c>
      <c r="H80" s="6" t="s">
        <v>630</v>
      </c>
      <c r="I80" s="6" t="s">
        <v>631</v>
      </c>
      <c r="J80" s="6" t="s">
        <v>632</v>
      </c>
      <c r="K80" s="22" t="s">
        <v>633</v>
      </c>
    </row>
    <row r="81" ht="57.45" customHeight="1" spans="1:11" x14ac:dyDescent="0.25">
      <c r="A81" s="20" t="s">
        <v>634</v>
      </c>
      <c r="B81" s="20" t="s">
        <v>635</v>
      </c>
      <c r="C81" s="21" t="s">
        <v>6</v>
      </c>
      <c r="D81" s="20" t="s">
        <v>236</v>
      </c>
      <c r="E81" s="6" t="s">
        <v>636</v>
      </c>
      <c r="F81" s="20">
        <v>16</v>
      </c>
      <c r="G81" s="6" t="s">
        <v>637</v>
      </c>
      <c r="H81" s="6" t="s">
        <v>638</v>
      </c>
      <c r="I81" s="6" t="s">
        <v>639</v>
      </c>
      <c r="J81" s="6" t="s">
        <v>640</v>
      </c>
      <c r="K81" s="22" t="s">
        <v>641</v>
      </c>
    </row>
    <row r="82" ht="102.2" customHeight="1" spans="1:11" x14ac:dyDescent="0.25">
      <c r="A82" s="20" t="s">
        <v>642</v>
      </c>
      <c r="B82" s="20" t="s">
        <v>643</v>
      </c>
      <c r="C82" s="24" t="s">
        <v>8</v>
      </c>
      <c r="D82" s="20" t="s">
        <v>269</v>
      </c>
      <c r="E82" s="6" t="s">
        <v>644</v>
      </c>
      <c r="F82" s="20">
        <v>4</v>
      </c>
      <c r="G82" s="6" t="s">
        <v>645</v>
      </c>
      <c r="H82" s="6" t="s">
        <v>646</v>
      </c>
      <c r="I82" s="6" t="s">
        <v>647</v>
      </c>
      <c r="J82" s="6"/>
      <c r="K82" s="22" t="s">
        <v>648</v>
      </c>
    </row>
  </sheetData>
  <autoFilter ref="A1:K82"/>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7" r:id="rId15"/>
    <hyperlink ref="K18" r:id="rId16"/>
    <hyperlink ref="K20" r:id="rId17"/>
    <hyperlink ref="K21" r:id="rId18"/>
    <hyperlink ref="K22" r:id="rId19"/>
    <hyperlink ref="K23" r:id="rId20"/>
    <hyperlink ref="K24" r:id="rId21"/>
    <hyperlink ref="K25" r:id="rId22"/>
    <hyperlink ref="K28" r:id="rId23"/>
    <hyperlink ref="K30" r:id="rId24"/>
    <hyperlink ref="K31" r:id="rId25"/>
    <hyperlink ref="K33" r:id="rId26"/>
    <hyperlink ref="K34" r:id="rId27"/>
    <hyperlink ref="K39" r:id="rId28"/>
    <hyperlink ref="K40" r:id="rId29"/>
    <hyperlink ref="K41" r:id="rId30"/>
    <hyperlink ref="K42" r:id="rId31"/>
    <hyperlink ref="K43" r:id="rId32"/>
    <hyperlink ref="K44" r:id="rId33"/>
    <hyperlink ref="K45" r:id="rId34"/>
    <hyperlink ref="K46" r:id="rId35"/>
    <hyperlink ref="K47" r:id="rId36"/>
    <hyperlink ref="K48" r:id="rId37"/>
    <hyperlink ref="K49" r:id="rId38"/>
    <hyperlink ref="K50" r:id="rId39"/>
    <hyperlink ref="K51" r:id="rId40"/>
    <hyperlink ref="K52" r:id="rId41"/>
    <hyperlink ref="K53" r:id="rId42"/>
    <hyperlink ref="K54" r:id="rId43"/>
    <hyperlink ref="K55" r:id="rId44"/>
    <hyperlink ref="K56" r:id="rId45"/>
    <hyperlink ref="K57" r:id="rId46"/>
    <hyperlink ref="K58" r:id="rId47"/>
    <hyperlink ref="K59" r:id="rId48"/>
    <hyperlink ref="K60" r:id="rId49"/>
    <hyperlink ref="K61" r:id="rId50"/>
    <hyperlink ref="K62" r:id="rId51"/>
    <hyperlink ref="K63" r:id="rId52"/>
    <hyperlink ref="K64" r:id="rId53"/>
    <hyperlink ref="K65" r:id="rId54"/>
    <hyperlink ref="K66" r:id="rId55"/>
    <hyperlink ref="K67" r:id="rId56"/>
    <hyperlink ref="K68" r:id="rId57"/>
    <hyperlink ref="K69" r:id="rId58"/>
    <hyperlink ref="K70" r:id="rId59"/>
    <hyperlink ref="K71" r:id="rId60"/>
    <hyperlink ref="K72" r:id="rId61"/>
    <hyperlink ref="K73" r:id="rId62"/>
    <hyperlink ref="K75" r:id="rId63"/>
    <hyperlink ref="K76" r:id="rId64"/>
    <hyperlink ref="K77" r:id="rId65"/>
    <hyperlink ref="K78" r:id="rId66"/>
    <hyperlink ref="K79" r:id="rId67"/>
    <hyperlink ref="K80" r:id="rId68"/>
    <hyperlink ref="K81" r:id="rId69"/>
    <hyperlink ref="K82" r:id="rId70"/>
  </hyperlinks>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76"/>
  <sheetViews>
    <sheetView workbookViewId="0" zoomScale="100" zoomScaleNormal="100" view="normal">
      <pane xSplit="2" ySplit="1" topLeftCell="C2" activePane="bottomRight" state="frozen"/>
      <selection pane="bottomRight" activeCell="A1" sqref="A1"/>
    </sheetView>
  </sheetViews>
  <sheetFormatPr defaultRowHeight="15" outlineLevelRow="0" outlineLevelCol="0" x14ac:dyDescent="0" defaultColWidth="8.6796875"/>
  <cols>
    <col min="1" max="1" width="12" customWidth="1"/>
    <col min="2" max="2" width="18" customWidth="1"/>
    <col min="3" max="3" width="24" customWidth="1"/>
    <col min="4" max="4" width="22" customWidth="1"/>
    <col min="7" max="8" width="11" customWidth="1"/>
    <col min="9" max="9" width="8" customWidth="1"/>
    <col min="10" max="10" width="30" customWidth="1"/>
    <col min="11" max="12" width="36" customWidth="1"/>
    <col min="13" max="13" width="30" customWidth="1"/>
    <col min="14" max="14" width="34" customWidth="1"/>
    <col min="15" max="15" width="12" customWidth="1"/>
    <col min="16" max="16" width="20" customWidth="1"/>
    <col min="17" max="17" width="44" customWidth="1"/>
    <col min="18" max="18" width="50" customWidth="1"/>
    <col min="19" max="19" width="60" customWidth="1"/>
  </cols>
  <sheetData>
    <row r="1" ht="30" customHeight="1" spans="1:19" x14ac:dyDescent="0.25">
      <c r="A1" s="3" t="s">
        <v>225</v>
      </c>
      <c r="B1" s="3" t="s">
        <v>226</v>
      </c>
      <c r="C1" s="3" t="s">
        <v>649</v>
      </c>
      <c r="D1" s="3" t="s">
        <v>650</v>
      </c>
      <c r="E1" s="3" t="s">
        <v>651</v>
      </c>
      <c r="F1" s="3" t="s">
        <v>652</v>
      </c>
      <c r="G1" s="3" t="s">
        <v>653</v>
      </c>
      <c r="H1" s="3" t="s">
        <v>654</v>
      </c>
      <c r="I1" s="3" t="s">
        <v>655</v>
      </c>
      <c r="J1" s="3" t="s">
        <v>656</v>
      </c>
      <c r="K1" s="3" t="s">
        <v>657</v>
      </c>
      <c r="L1" s="3" t="s">
        <v>658</v>
      </c>
      <c r="M1" s="3" t="s">
        <v>659</v>
      </c>
      <c r="N1" s="3" t="s">
        <v>230</v>
      </c>
      <c r="O1" s="3" t="s">
        <v>660</v>
      </c>
      <c r="P1" s="3" t="s">
        <v>661</v>
      </c>
      <c r="Q1" s="3" t="s">
        <v>662</v>
      </c>
      <c r="R1" s="3" t="s">
        <v>663</v>
      </c>
      <c r="S1" s="3" t="s">
        <v>664</v>
      </c>
    </row>
    <row r="2" ht="45" customHeight="1" spans="1:19" x14ac:dyDescent="0.25">
      <c r="A2" s="20" t="s">
        <v>235</v>
      </c>
      <c r="B2" s="20" t="s">
        <v>235</v>
      </c>
      <c r="C2" s="6" t="s">
        <v>665</v>
      </c>
      <c r="D2" s="6" t="s">
        <v>666</v>
      </c>
      <c r="E2" s="20">
        <v>5</v>
      </c>
      <c r="F2" s="20">
        <v>7.5</v>
      </c>
      <c r="G2" s="20" t="s">
        <v>667</v>
      </c>
      <c r="H2" s="27">
        <v>363</v>
      </c>
      <c r="I2" s="20" t="s">
        <v>668</v>
      </c>
      <c r="J2" s="6" t="s">
        <v>669</v>
      </c>
      <c r="K2" s="6" t="s">
        <v>670</v>
      </c>
      <c r="L2" s="6" t="s">
        <v>239</v>
      </c>
      <c r="M2" s="6" t="s">
        <v>240</v>
      </c>
      <c r="N2" s="6" t="s">
        <v>238</v>
      </c>
      <c r="O2" s="20" t="s">
        <v>671</v>
      </c>
      <c r="P2" s="20" t="s">
        <v>236</v>
      </c>
      <c r="Q2" s="22" t="s">
        <v>242</v>
      </c>
      <c r="R2" s="6" t="s">
        <v>672</v>
      </c>
      <c r="S2" s="6" t="s">
        <v>673</v>
      </c>
    </row>
    <row r="3" ht="45" customHeight="1" spans="1:19" x14ac:dyDescent="0.25">
      <c r="A3" s="20" t="s">
        <v>235</v>
      </c>
      <c r="B3" s="20" t="s">
        <v>235</v>
      </c>
      <c r="C3" s="6" t="s">
        <v>665</v>
      </c>
      <c r="D3" s="6" t="s">
        <v>666</v>
      </c>
      <c r="E3" s="20">
        <v>5</v>
      </c>
      <c r="F3" s="20">
        <v>7.5</v>
      </c>
      <c r="G3" s="20" t="s">
        <v>674</v>
      </c>
      <c r="H3" s="27">
        <v>3147</v>
      </c>
      <c r="I3" s="20" t="s">
        <v>668</v>
      </c>
      <c r="J3" s="6" t="s">
        <v>669</v>
      </c>
      <c r="K3" s="6" t="s">
        <v>670</v>
      </c>
      <c r="L3" s="6" t="s">
        <v>239</v>
      </c>
      <c r="M3" s="6" t="s">
        <v>240</v>
      </c>
      <c r="N3" s="6" t="s">
        <v>238</v>
      </c>
      <c r="O3" s="20" t="s">
        <v>671</v>
      </c>
      <c r="P3" s="20" t="s">
        <v>236</v>
      </c>
      <c r="Q3" s="22" t="s">
        <v>242</v>
      </c>
      <c r="R3" s="6" t="s">
        <v>675</v>
      </c>
      <c r="S3" s="6" t="s">
        <v>673</v>
      </c>
    </row>
    <row r="4" ht="45" customHeight="1" spans="1:19" x14ac:dyDescent="0.25">
      <c r="A4" s="20" t="s">
        <v>235</v>
      </c>
      <c r="B4" s="20" t="s">
        <v>235</v>
      </c>
      <c r="C4" s="6" t="s">
        <v>665</v>
      </c>
      <c r="D4" s="6" t="s">
        <v>676</v>
      </c>
      <c r="E4" s="20">
        <v>7.5</v>
      </c>
      <c r="F4" s="20">
        <v>12.5</v>
      </c>
      <c r="G4" s="20" t="s">
        <v>667</v>
      </c>
      <c r="H4" s="27">
        <v>711</v>
      </c>
      <c r="I4" s="20" t="s">
        <v>668</v>
      </c>
      <c r="J4" s="6" t="s">
        <v>669</v>
      </c>
      <c r="K4" s="6" t="s">
        <v>670</v>
      </c>
      <c r="L4" s="6" t="s">
        <v>239</v>
      </c>
      <c r="M4" s="6" t="s">
        <v>240</v>
      </c>
      <c r="N4" s="6" t="s">
        <v>238</v>
      </c>
      <c r="O4" s="20" t="s">
        <v>671</v>
      </c>
      <c r="P4" s="20" t="s">
        <v>236</v>
      </c>
      <c r="Q4" s="22" t="s">
        <v>242</v>
      </c>
      <c r="R4" s="6" t="s">
        <v>677</v>
      </c>
      <c r="S4" s="6" t="s">
        <v>673</v>
      </c>
    </row>
    <row r="5" ht="45" customHeight="1" spans="1:19" x14ac:dyDescent="0.25">
      <c r="A5" s="20" t="s">
        <v>235</v>
      </c>
      <c r="B5" s="20" t="s">
        <v>235</v>
      </c>
      <c r="C5" s="6" t="s">
        <v>665</v>
      </c>
      <c r="D5" s="6" t="s">
        <v>676</v>
      </c>
      <c r="E5" s="20">
        <v>7.5</v>
      </c>
      <c r="F5" s="20">
        <v>12.5</v>
      </c>
      <c r="G5" s="20" t="s">
        <v>674</v>
      </c>
      <c r="H5" s="27">
        <v>6294</v>
      </c>
      <c r="I5" s="20" t="s">
        <v>668</v>
      </c>
      <c r="J5" s="6" t="s">
        <v>669</v>
      </c>
      <c r="K5" s="6" t="s">
        <v>670</v>
      </c>
      <c r="L5" s="6" t="s">
        <v>239</v>
      </c>
      <c r="M5" s="6" t="s">
        <v>240</v>
      </c>
      <c r="N5" s="6" t="s">
        <v>238</v>
      </c>
      <c r="O5" s="20" t="s">
        <v>671</v>
      </c>
      <c r="P5" s="20" t="s">
        <v>236</v>
      </c>
      <c r="Q5" s="22" t="s">
        <v>242</v>
      </c>
      <c r="R5" s="6" t="s">
        <v>678</v>
      </c>
      <c r="S5" s="6" t="s">
        <v>673</v>
      </c>
    </row>
    <row r="6" ht="45" customHeight="1" spans="1:19" x14ac:dyDescent="0.25">
      <c r="A6" s="20" t="s">
        <v>235</v>
      </c>
      <c r="B6" s="20" t="s">
        <v>235</v>
      </c>
      <c r="C6" s="6" t="s">
        <v>665</v>
      </c>
      <c r="D6" s="6" t="s">
        <v>679</v>
      </c>
      <c r="E6" s="20">
        <v>12.5</v>
      </c>
      <c r="F6" s="20">
        <v>16</v>
      </c>
      <c r="G6" s="20" t="s">
        <v>667</v>
      </c>
      <c r="H6" s="27">
        <v>1421</v>
      </c>
      <c r="I6" s="20" t="s">
        <v>668</v>
      </c>
      <c r="J6" s="6" t="s">
        <v>669</v>
      </c>
      <c r="K6" s="6" t="s">
        <v>670</v>
      </c>
      <c r="L6" s="6" t="s">
        <v>239</v>
      </c>
      <c r="M6" s="6" t="s">
        <v>240</v>
      </c>
      <c r="N6" s="6" t="s">
        <v>238</v>
      </c>
      <c r="O6" s="20" t="s">
        <v>671</v>
      </c>
      <c r="P6" s="20" t="s">
        <v>236</v>
      </c>
      <c r="Q6" s="22" t="s">
        <v>242</v>
      </c>
      <c r="R6" s="6" t="s">
        <v>680</v>
      </c>
      <c r="S6" s="6" t="s">
        <v>673</v>
      </c>
    </row>
    <row r="7" ht="45" customHeight="1" spans="1:19" x14ac:dyDescent="0.25">
      <c r="A7" s="20" t="s">
        <v>235</v>
      </c>
      <c r="B7" s="20" t="s">
        <v>235</v>
      </c>
      <c r="C7" s="6" t="s">
        <v>665</v>
      </c>
      <c r="D7" s="6" t="s">
        <v>679</v>
      </c>
      <c r="E7" s="20">
        <v>12.5</v>
      </c>
      <c r="F7" s="20">
        <v>16</v>
      </c>
      <c r="G7" s="20" t="s">
        <v>674</v>
      </c>
      <c r="H7" s="27">
        <v>12589</v>
      </c>
      <c r="I7" s="20" t="s">
        <v>668</v>
      </c>
      <c r="J7" s="6" t="s">
        <v>669</v>
      </c>
      <c r="K7" s="6" t="s">
        <v>670</v>
      </c>
      <c r="L7" s="6" t="s">
        <v>239</v>
      </c>
      <c r="M7" s="6" t="s">
        <v>240</v>
      </c>
      <c r="N7" s="6" t="s">
        <v>238</v>
      </c>
      <c r="O7" s="20" t="s">
        <v>671</v>
      </c>
      <c r="P7" s="20" t="s">
        <v>236</v>
      </c>
      <c r="Q7" s="22" t="s">
        <v>242</v>
      </c>
      <c r="R7" s="6" t="s">
        <v>681</v>
      </c>
      <c r="S7" s="6" t="s">
        <v>673</v>
      </c>
    </row>
    <row r="8" ht="45" customHeight="1" spans="1:19" x14ac:dyDescent="0.25">
      <c r="A8" s="20" t="s">
        <v>235</v>
      </c>
      <c r="B8" s="20" t="s">
        <v>235</v>
      </c>
      <c r="C8" s="6" t="s">
        <v>665</v>
      </c>
      <c r="D8" s="6" t="s">
        <v>682</v>
      </c>
      <c r="E8" s="20">
        <v>16</v>
      </c>
      <c r="F8" s="20">
        <v>22</v>
      </c>
      <c r="G8" s="20" t="s">
        <v>667</v>
      </c>
      <c r="H8" s="27">
        <v>2133</v>
      </c>
      <c r="I8" s="20" t="s">
        <v>668</v>
      </c>
      <c r="J8" s="6" t="s">
        <v>669</v>
      </c>
      <c r="K8" s="6" t="s">
        <v>670</v>
      </c>
      <c r="L8" s="6" t="s">
        <v>239</v>
      </c>
      <c r="M8" s="6" t="s">
        <v>240</v>
      </c>
      <c r="N8" s="6" t="s">
        <v>238</v>
      </c>
      <c r="O8" s="20" t="s">
        <v>671</v>
      </c>
      <c r="P8" s="20" t="s">
        <v>236</v>
      </c>
      <c r="Q8" s="22" t="s">
        <v>242</v>
      </c>
      <c r="R8" s="6" t="s">
        <v>683</v>
      </c>
      <c r="S8" s="6" t="s">
        <v>673</v>
      </c>
    </row>
    <row r="9" ht="45" customHeight="1" spans="1:19" x14ac:dyDescent="0.25">
      <c r="A9" s="20" t="s">
        <v>235</v>
      </c>
      <c r="B9" s="20" t="s">
        <v>235</v>
      </c>
      <c r="C9" s="6" t="s">
        <v>665</v>
      </c>
      <c r="D9" s="6" t="s">
        <v>682</v>
      </c>
      <c r="E9" s="20">
        <v>16</v>
      </c>
      <c r="F9" s="20">
        <v>22</v>
      </c>
      <c r="G9" s="20" t="s">
        <v>674</v>
      </c>
      <c r="H9" s="27">
        <v>18884</v>
      </c>
      <c r="I9" s="20" t="s">
        <v>668</v>
      </c>
      <c r="J9" s="6" t="s">
        <v>669</v>
      </c>
      <c r="K9" s="6" t="s">
        <v>670</v>
      </c>
      <c r="L9" s="6" t="s">
        <v>239</v>
      </c>
      <c r="M9" s="6" t="s">
        <v>240</v>
      </c>
      <c r="N9" s="6" t="s">
        <v>238</v>
      </c>
      <c r="O9" s="20" t="s">
        <v>671</v>
      </c>
      <c r="P9" s="20" t="s">
        <v>236</v>
      </c>
      <c r="Q9" s="22" t="s">
        <v>242</v>
      </c>
      <c r="R9" s="6" t="s">
        <v>684</v>
      </c>
      <c r="S9" s="6" t="s">
        <v>673</v>
      </c>
    </row>
    <row r="10" ht="45" customHeight="1" spans="1:19" x14ac:dyDescent="0.25">
      <c r="A10" s="20" t="s">
        <v>235</v>
      </c>
      <c r="B10" s="20" t="s">
        <v>235</v>
      </c>
      <c r="C10" s="6" t="s">
        <v>665</v>
      </c>
      <c r="D10" s="6" t="s">
        <v>685</v>
      </c>
      <c r="E10" s="20">
        <v>22</v>
      </c>
      <c r="F10" s="20">
        <v>40</v>
      </c>
      <c r="G10" s="20" t="s">
        <v>667</v>
      </c>
      <c r="H10" s="27">
        <v>2843</v>
      </c>
      <c r="I10" s="20" t="s">
        <v>668</v>
      </c>
      <c r="J10" s="6" t="s">
        <v>669</v>
      </c>
      <c r="K10" s="6" t="s">
        <v>670</v>
      </c>
      <c r="L10" s="6" t="s">
        <v>239</v>
      </c>
      <c r="M10" s="6" t="s">
        <v>240</v>
      </c>
      <c r="N10" s="6" t="s">
        <v>238</v>
      </c>
      <c r="O10" s="20" t="s">
        <v>671</v>
      </c>
      <c r="P10" s="20" t="s">
        <v>236</v>
      </c>
      <c r="Q10" s="22" t="s">
        <v>242</v>
      </c>
      <c r="R10" s="6" t="s">
        <v>686</v>
      </c>
      <c r="S10" s="6" t="s">
        <v>673</v>
      </c>
    </row>
    <row r="11" ht="45" customHeight="1" spans="1:19" x14ac:dyDescent="0.25">
      <c r="A11" s="20" t="s">
        <v>235</v>
      </c>
      <c r="B11" s="20" t="s">
        <v>235</v>
      </c>
      <c r="C11" s="6" t="s">
        <v>665</v>
      </c>
      <c r="D11" s="6" t="s">
        <v>685</v>
      </c>
      <c r="E11" s="20">
        <v>22</v>
      </c>
      <c r="F11" s="20">
        <v>40</v>
      </c>
      <c r="G11" s="20" t="s">
        <v>674</v>
      </c>
      <c r="H11" s="27">
        <v>25179</v>
      </c>
      <c r="I11" s="20" t="s">
        <v>668</v>
      </c>
      <c r="J11" s="6" t="s">
        <v>669</v>
      </c>
      <c r="K11" s="6" t="s">
        <v>670</v>
      </c>
      <c r="L11" s="6" t="s">
        <v>239</v>
      </c>
      <c r="M11" s="6" t="s">
        <v>240</v>
      </c>
      <c r="N11" s="6" t="s">
        <v>238</v>
      </c>
      <c r="O11" s="20" t="s">
        <v>671</v>
      </c>
      <c r="P11" s="20" t="s">
        <v>236</v>
      </c>
      <c r="Q11" s="22" t="s">
        <v>242</v>
      </c>
      <c r="R11" s="6" t="s">
        <v>687</v>
      </c>
      <c r="S11" s="6" t="s">
        <v>673</v>
      </c>
    </row>
    <row r="12" ht="45" customHeight="1" spans="1:19" x14ac:dyDescent="0.25">
      <c r="A12" s="20" t="s">
        <v>235</v>
      </c>
      <c r="B12" s="20" t="s">
        <v>235</v>
      </c>
      <c r="C12" s="6" t="s">
        <v>665</v>
      </c>
      <c r="D12" s="6" t="s">
        <v>688</v>
      </c>
      <c r="E12" s="20">
        <v>40</v>
      </c>
      <c r="F12" s="20"/>
      <c r="G12" s="20" t="s">
        <v>667</v>
      </c>
      <c r="H12" s="27">
        <v>3534</v>
      </c>
      <c r="I12" s="20" t="s">
        <v>668</v>
      </c>
      <c r="J12" s="6" t="s">
        <v>669</v>
      </c>
      <c r="K12" s="6" t="s">
        <v>670</v>
      </c>
      <c r="L12" s="6" t="s">
        <v>239</v>
      </c>
      <c r="M12" s="6" t="s">
        <v>240</v>
      </c>
      <c r="N12" s="6" t="s">
        <v>238</v>
      </c>
      <c r="O12" s="20" t="s">
        <v>671</v>
      </c>
      <c r="P12" s="20" t="s">
        <v>236</v>
      </c>
      <c r="Q12" s="22" t="s">
        <v>242</v>
      </c>
      <c r="R12" s="6" t="s">
        <v>689</v>
      </c>
      <c r="S12" s="6" t="s">
        <v>673</v>
      </c>
    </row>
    <row r="13" ht="45" customHeight="1" spans="1:19" x14ac:dyDescent="0.25">
      <c r="A13" s="20" t="s">
        <v>235</v>
      </c>
      <c r="B13" s="20" t="s">
        <v>235</v>
      </c>
      <c r="C13" s="6" t="s">
        <v>665</v>
      </c>
      <c r="D13" s="6" t="s">
        <v>688</v>
      </c>
      <c r="E13" s="20">
        <v>40</v>
      </c>
      <c r="F13" s="20"/>
      <c r="G13" s="20" t="s">
        <v>674</v>
      </c>
      <c r="H13" s="27">
        <v>31474</v>
      </c>
      <c r="I13" s="20" t="s">
        <v>668</v>
      </c>
      <c r="J13" s="6" t="s">
        <v>669</v>
      </c>
      <c r="K13" s="6" t="s">
        <v>670</v>
      </c>
      <c r="L13" s="6" t="s">
        <v>239</v>
      </c>
      <c r="M13" s="6" t="s">
        <v>240</v>
      </c>
      <c r="N13" s="6" t="s">
        <v>238</v>
      </c>
      <c r="O13" s="20" t="s">
        <v>671</v>
      </c>
      <c r="P13" s="20" t="s">
        <v>236</v>
      </c>
      <c r="Q13" s="22" t="s">
        <v>242</v>
      </c>
      <c r="R13" s="6" t="s">
        <v>690</v>
      </c>
      <c r="S13" s="6" t="s">
        <v>673</v>
      </c>
    </row>
    <row r="14" ht="45" customHeight="1" spans="1:19" x14ac:dyDescent="0.25">
      <c r="A14" s="20" t="s">
        <v>235</v>
      </c>
      <c r="B14" s="20" t="s">
        <v>235</v>
      </c>
      <c r="C14" s="6" t="s">
        <v>691</v>
      </c>
      <c r="D14" s="6" t="s">
        <v>666</v>
      </c>
      <c r="E14" s="20">
        <v>5</v>
      </c>
      <c r="F14" s="20">
        <v>7.5</v>
      </c>
      <c r="G14" s="20" t="s">
        <v>667</v>
      </c>
      <c r="H14" s="27">
        <v>100</v>
      </c>
      <c r="I14" s="20" t="s">
        <v>668</v>
      </c>
      <c r="J14" s="6" t="s">
        <v>692</v>
      </c>
      <c r="K14" s="6" t="s">
        <v>670</v>
      </c>
      <c r="L14" s="6" t="s">
        <v>239</v>
      </c>
      <c r="M14" s="6" t="s">
        <v>240</v>
      </c>
      <c r="N14" s="6" t="s">
        <v>238</v>
      </c>
      <c r="O14" s="20" t="s">
        <v>671</v>
      </c>
      <c r="P14" s="20" t="s">
        <v>236</v>
      </c>
      <c r="Q14" s="22" t="s">
        <v>242</v>
      </c>
      <c r="R14" s="6" t="s">
        <v>693</v>
      </c>
      <c r="S14" s="6" t="s">
        <v>694</v>
      </c>
    </row>
    <row r="15" ht="45" customHeight="1" spans="1:19" x14ac:dyDescent="0.25">
      <c r="A15" s="20" t="s">
        <v>235</v>
      </c>
      <c r="B15" s="20" t="s">
        <v>235</v>
      </c>
      <c r="C15" s="6" t="s">
        <v>691</v>
      </c>
      <c r="D15" s="6" t="s">
        <v>666</v>
      </c>
      <c r="E15" s="20">
        <v>5</v>
      </c>
      <c r="F15" s="20">
        <v>7.5</v>
      </c>
      <c r="G15" s="20" t="s">
        <v>674</v>
      </c>
      <c r="H15" s="27">
        <v>787</v>
      </c>
      <c r="I15" s="20" t="s">
        <v>668</v>
      </c>
      <c r="J15" s="6" t="s">
        <v>692</v>
      </c>
      <c r="K15" s="6" t="s">
        <v>670</v>
      </c>
      <c r="L15" s="6" t="s">
        <v>239</v>
      </c>
      <c r="M15" s="6" t="s">
        <v>240</v>
      </c>
      <c r="N15" s="6" t="s">
        <v>238</v>
      </c>
      <c r="O15" s="20" t="s">
        <v>671</v>
      </c>
      <c r="P15" s="20" t="s">
        <v>236</v>
      </c>
      <c r="Q15" s="22" t="s">
        <v>242</v>
      </c>
      <c r="R15" s="6" t="s">
        <v>695</v>
      </c>
      <c r="S15" s="6" t="s">
        <v>694</v>
      </c>
    </row>
    <row r="16" ht="45" customHeight="1" spans="1:19" x14ac:dyDescent="0.25">
      <c r="A16" s="20" t="s">
        <v>235</v>
      </c>
      <c r="B16" s="20" t="s">
        <v>235</v>
      </c>
      <c r="C16" s="6" t="s">
        <v>691</v>
      </c>
      <c r="D16" s="6" t="s">
        <v>676</v>
      </c>
      <c r="E16" s="20">
        <v>7.5</v>
      </c>
      <c r="F16" s="20">
        <v>12.5</v>
      </c>
      <c r="G16" s="20" t="s">
        <v>667</v>
      </c>
      <c r="H16" s="27">
        <v>183</v>
      </c>
      <c r="I16" s="20" t="s">
        <v>668</v>
      </c>
      <c r="J16" s="6" t="s">
        <v>669</v>
      </c>
      <c r="K16" s="6" t="s">
        <v>670</v>
      </c>
      <c r="L16" s="6" t="s">
        <v>239</v>
      </c>
      <c r="M16" s="6" t="s">
        <v>240</v>
      </c>
      <c r="N16" s="6" t="s">
        <v>238</v>
      </c>
      <c r="O16" s="20" t="s">
        <v>671</v>
      </c>
      <c r="P16" s="20" t="s">
        <v>236</v>
      </c>
      <c r="Q16" s="22" t="s">
        <v>242</v>
      </c>
      <c r="R16" s="6" t="s">
        <v>696</v>
      </c>
      <c r="S16" s="6" t="s">
        <v>694</v>
      </c>
    </row>
    <row r="17" ht="45" customHeight="1" spans="1:19" x14ac:dyDescent="0.25">
      <c r="A17" s="20" t="s">
        <v>235</v>
      </c>
      <c r="B17" s="20" t="s">
        <v>235</v>
      </c>
      <c r="C17" s="6" t="s">
        <v>691</v>
      </c>
      <c r="D17" s="6" t="s">
        <v>676</v>
      </c>
      <c r="E17" s="20">
        <v>7.5</v>
      </c>
      <c r="F17" s="20">
        <v>12.5</v>
      </c>
      <c r="G17" s="20" t="s">
        <v>674</v>
      </c>
      <c r="H17" s="27">
        <v>1576</v>
      </c>
      <c r="I17" s="20" t="s">
        <v>668</v>
      </c>
      <c r="J17" s="6" t="s">
        <v>669</v>
      </c>
      <c r="K17" s="6" t="s">
        <v>670</v>
      </c>
      <c r="L17" s="6" t="s">
        <v>239</v>
      </c>
      <c r="M17" s="6" t="s">
        <v>240</v>
      </c>
      <c r="N17" s="6" t="s">
        <v>238</v>
      </c>
      <c r="O17" s="20" t="s">
        <v>671</v>
      </c>
      <c r="P17" s="20" t="s">
        <v>236</v>
      </c>
      <c r="Q17" s="22" t="s">
        <v>242</v>
      </c>
      <c r="R17" s="6" t="s">
        <v>697</v>
      </c>
      <c r="S17" s="6" t="s">
        <v>694</v>
      </c>
    </row>
    <row r="18" ht="45" customHeight="1" spans="1:19" x14ac:dyDescent="0.25">
      <c r="A18" s="20" t="s">
        <v>235</v>
      </c>
      <c r="B18" s="20" t="s">
        <v>235</v>
      </c>
      <c r="C18" s="6" t="s">
        <v>691</v>
      </c>
      <c r="D18" s="6" t="s">
        <v>679</v>
      </c>
      <c r="E18" s="20">
        <v>12.5</v>
      </c>
      <c r="F18" s="20">
        <v>16</v>
      </c>
      <c r="G18" s="20" t="s">
        <v>667</v>
      </c>
      <c r="H18" s="27">
        <v>280</v>
      </c>
      <c r="I18" s="20" t="s">
        <v>668</v>
      </c>
      <c r="J18" s="6" t="s">
        <v>669</v>
      </c>
      <c r="K18" s="6" t="s">
        <v>670</v>
      </c>
      <c r="L18" s="6" t="s">
        <v>239</v>
      </c>
      <c r="M18" s="6" t="s">
        <v>240</v>
      </c>
      <c r="N18" s="6" t="s">
        <v>238</v>
      </c>
      <c r="O18" s="20" t="s">
        <v>671</v>
      </c>
      <c r="P18" s="20" t="s">
        <v>236</v>
      </c>
      <c r="Q18" s="22" t="s">
        <v>242</v>
      </c>
      <c r="R18" s="6" t="s">
        <v>698</v>
      </c>
      <c r="S18" s="6" t="s">
        <v>694</v>
      </c>
    </row>
    <row r="19" ht="45" customHeight="1" spans="1:19" x14ac:dyDescent="0.25">
      <c r="A19" s="20" t="s">
        <v>235</v>
      </c>
      <c r="B19" s="20" t="s">
        <v>235</v>
      </c>
      <c r="C19" s="6" t="s">
        <v>691</v>
      </c>
      <c r="D19" s="6" t="s">
        <v>679</v>
      </c>
      <c r="E19" s="20">
        <v>12.5</v>
      </c>
      <c r="F19" s="20">
        <v>16</v>
      </c>
      <c r="G19" s="20" t="s">
        <v>674</v>
      </c>
      <c r="H19" s="27">
        <v>2361</v>
      </c>
      <c r="I19" s="20" t="s">
        <v>668</v>
      </c>
      <c r="J19" s="6" t="s">
        <v>669</v>
      </c>
      <c r="K19" s="6" t="s">
        <v>670</v>
      </c>
      <c r="L19" s="6" t="s">
        <v>239</v>
      </c>
      <c r="M19" s="6" t="s">
        <v>240</v>
      </c>
      <c r="N19" s="6" t="s">
        <v>238</v>
      </c>
      <c r="O19" s="20" t="s">
        <v>671</v>
      </c>
      <c r="P19" s="20" t="s">
        <v>236</v>
      </c>
      <c r="Q19" s="22" t="s">
        <v>242</v>
      </c>
      <c r="R19" s="6" t="s">
        <v>699</v>
      </c>
      <c r="S19" s="6" t="s">
        <v>694</v>
      </c>
    </row>
    <row r="20" ht="45" customHeight="1" spans="1:19" x14ac:dyDescent="0.25">
      <c r="A20" s="20" t="s">
        <v>235</v>
      </c>
      <c r="B20" s="20" t="s">
        <v>235</v>
      </c>
      <c r="C20" s="6" t="s">
        <v>691</v>
      </c>
      <c r="D20" s="6" t="s">
        <v>682</v>
      </c>
      <c r="E20" s="20">
        <v>16</v>
      </c>
      <c r="F20" s="20">
        <v>22</v>
      </c>
      <c r="G20" s="20" t="s">
        <v>667</v>
      </c>
      <c r="H20" s="27">
        <v>363</v>
      </c>
      <c r="I20" s="20" t="s">
        <v>668</v>
      </c>
      <c r="J20" s="6" t="s">
        <v>669</v>
      </c>
      <c r="K20" s="6" t="s">
        <v>670</v>
      </c>
      <c r="L20" s="6" t="s">
        <v>239</v>
      </c>
      <c r="M20" s="6" t="s">
        <v>240</v>
      </c>
      <c r="N20" s="6" t="s">
        <v>238</v>
      </c>
      <c r="O20" s="20" t="s">
        <v>671</v>
      </c>
      <c r="P20" s="20" t="s">
        <v>236</v>
      </c>
      <c r="Q20" s="22" t="s">
        <v>242</v>
      </c>
      <c r="R20" s="6" t="s">
        <v>672</v>
      </c>
      <c r="S20" s="6" t="s">
        <v>694</v>
      </c>
    </row>
    <row r="21" ht="45" customHeight="1" spans="1:19" x14ac:dyDescent="0.25">
      <c r="A21" s="20" t="s">
        <v>235</v>
      </c>
      <c r="B21" s="20" t="s">
        <v>235</v>
      </c>
      <c r="C21" s="6" t="s">
        <v>691</v>
      </c>
      <c r="D21" s="6" t="s">
        <v>682</v>
      </c>
      <c r="E21" s="20">
        <v>16</v>
      </c>
      <c r="F21" s="20">
        <v>22</v>
      </c>
      <c r="G21" s="20" t="s">
        <v>674</v>
      </c>
      <c r="H21" s="27">
        <v>3147</v>
      </c>
      <c r="I21" s="20" t="s">
        <v>668</v>
      </c>
      <c r="J21" s="6" t="s">
        <v>669</v>
      </c>
      <c r="K21" s="6" t="s">
        <v>670</v>
      </c>
      <c r="L21" s="6" t="s">
        <v>239</v>
      </c>
      <c r="M21" s="6" t="s">
        <v>240</v>
      </c>
      <c r="N21" s="6" t="s">
        <v>238</v>
      </c>
      <c r="O21" s="20" t="s">
        <v>671</v>
      </c>
      <c r="P21" s="20" t="s">
        <v>236</v>
      </c>
      <c r="Q21" s="22" t="s">
        <v>242</v>
      </c>
      <c r="R21" s="6" t="s">
        <v>675</v>
      </c>
      <c r="S21" s="6" t="s">
        <v>694</v>
      </c>
    </row>
    <row r="22" ht="45" customHeight="1" spans="1:19" x14ac:dyDescent="0.25">
      <c r="A22" s="20" t="s">
        <v>235</v>
      </c>
      <c r="B22" s="20" t="s">
        <v>235</v>
      </c>
      <c r="C22" s="6" t="s">
        <v>691</v>
      </c>
      <c r="D22" s="6" t="s">
        <v>685</v>
      </c>
      <c r="E22" s="20">
        <v>22</v>
      </c>
      <c r="F22" s="20">
        <v>40</v>
      </c>
      <c r="G22" s="20" t="s">
        <v>667</v>
      </c>
      <c r="H22" s="27">
        <v>446</v>
      </c>
      <c r="I22" s="20" t="s">
        <v>668</v>
      </c>
      <c r="J22" s="6" t="s">
        <v>669</v>
      </c>
      <c r="K22" s="6" t="s">
        <v>670</v>
      </c>
      <c r="L22" s="6" t="s">
        <v>239</v>
      </c>
      <c r="M22" s="6" t="s">
        <v>240</v>
      </c>
      <c r="N22" s="6" t="s">
        <v>238</v>
      </c>
      <c r="O22" s="20" t="s">
        <v>671</v>
      </c>
      <c r="P22" s="20" t="s">
        <v>236</v>
      </c>
      <c r="Q22" s="22" t="s">
        <v>242</v>
      </c>
      <c r="R22" s="6" t="s">
        <v>700</v>
      </c>
      <c r="S22" s="6" t="s">
        <v>694</v>
      </c>
    </row>
    <row r="23" ht="45" customHeight="1" spans="1:19" x14ac:dyDescent="0.25">
      <c r="A23" s="20" t="s">
        <v>235</v>
      </c>
      <c r="B23" s="20" t="s">
        <v>235</v>
      </c>
      <c r="C23" s="6" t="s">
        <v>691</v>
      </c>
      <c r="D23" s="6" t="s">
        <v>685</v>
      </c>
      <c r="E23" s="20">
        <v>22</v>
      </c>
      <c r="F23" s="20">
        <v>40</v>
      </c>
      <c r="G23" s="20" t="s">
        <v>674</v>
      </c>
      <c r="H23" s="27">
        <v>3942</v>
      </c>
      <c r="I23" s="20" t="s">
        <v>668</v>
      </c>
      <c r="J23" s="6" t="s">
        <v>669</v>
      </c>
      <c r="K23" s="6" t="s">
        <v>670</v>
      </c>
      <c r="L23" s="6" t="s">
        <v>239</v>
      </c>
      <c r="M23" s="6" t="s">
        <v>240</v>
      </c>
      <c r="N23" s="6" t="s">
        <v>238</v>
      </c>
      <c r="O23" s="20" t="s">
        <v>671</v>
      </c>
      <c r="P23" s="20" t="s">
        <v>236</v>
      </c>
      <c r="Q23" s="22" t="s">
        <v>242</v>
      </c>
      <c r="R23" s="6" t="s">
        <v>701</v>
      </c>
      <c r="S23" s="6" t="s">
        <v>694</v>
      </c>
    </row>
    <row r="24" ht="45" customHeight="1" spans="1:19" x14ac:dyDescent="0.25">
      <c r="A24" s="20" t="s">
        <v>235</v>
      </c>
      <c r="B24" s="20" t="s">
        <v>235</v>
      </c>
      <c r="C24" s="6" t="s">
        <v>691</v>
      </c>
      <c r="D24" s="6" t="s">
        <v>688</v>
      </c>
      <c r="E24" s="20">
        <v>40</v>
      </c>
      <c r="F24" s="20"/>
      <c r="G24" s="20" t="s">
        <v>667</v>
      </c>
      <c r="H24" s="27">
        <v>547</v>
      </c>
      <c r="I24" s="20" t="s">
        <v>668</v>
      </c>
      <c r="J24" s="6" t="s">
        <v>669</v>
      </c>
      <c r="K24" s="6" t="s">
        <v>670</v>
      </c>
      <c r="L24" s="6" t="s">
        <v>239</v>
      </c>
      <c r="M24" s="6" t="s">
        <v>240</v>
      </c>
      <c r="N24" s="6" t="s">
        <v>238</v>
      </c>
      <c r="O24" s="20" t="s">
        <v>671</v>
      </c>
      <c r="P24" s="20" t="s">
        <v>236</v>
      </c>
      <c r="Q24" s="22" t="s">
        <v>242</v>
      </c>
      <c r="R24" s="6" t="s">
        <v>702</v>
      </c>
      <c r="S24" s="6" t="s">
        <v>694</v>
      </c>
    </row>
    <row r="25" ht="45" customHeight="1" spans="1:19" x14ac:dyDescent="0.25">
      <c r="A25" s="20" t="s">
        <v>235</v>
      </c>
      <c r="B25" s="20" t="s">
        <v>235</v>
      </c>
      <c r="C25" s="6" t="s">
        <v>691</v>
      </c>
      <c r="D25" s="6" t="s">
        <v>688</v>
      </c>
      <c r="E25" s="20">
        <v>40</v>
      </c>
      <c r="F25" s="20"/>
      <c r="G25" s="20" t="s">
        <v>674</v>
      </c>
      <c r="H25" s="27">
        <v>4721</v>
      </c>
      <c r="I25" s="20" t="s">
        <v>668</v>
      </c>
      <c r="J25" s="6" t="s">
        <v>669</v>
      </c>
      <c r="K25" s="6" t="s">
        <v>670</v>
      </c>
      <c r="L25" s="6" t="s">
        <v>239</v>
      </c>
      <c r="M25" s="6" t="s">
        <v>240</v>
      </c>
      <c r="N25" s="6" t="s">
        <v>238</v>
      </c>
      <c r="O25" s="20" t="s">
        <v>671</v>
      </c>
      <c r="P25" s="20" t="s">
        <v>236</v>
      </c>
      <c r="Q25" s="22" t="s">
        <v>242</v>
      </c>
      <c r="R25" s="6" t="s">
        <v>703</v>
      </c>
      <c r="S25" s="6" t="s">
        <v>694</v>
      </c>
    </row>
    <row r="26" ht="45" customHeight="1" spans="1:19" x14ac:dyDescent="0.25">
      <c r="A26" s="20" t="s">
        <v>235</v>
      </c>
      <c r="B26" s="20" t="s">
        <v>235</v>
      </c>
      <c r="C26" s="6" t="s">
        <v>704</v>
      </c>
      <c r="D26" s="6" t="s">
        <v>705</v>
      </c>
      <c r="E26" s="20"/>
      <c r="F26" s="20">
        <v>5</v>
      </c>
      <c r="G26" s="20" t="s">
        <v>706</v>
      </c>
      <c r="H26" s="27"/>
      <c r="I26" s="20" t="s">
        <v>668</v>
      </c>
      <c r="J26" s="6" t="s">
        <v>707</v>
      </c>
      <c r="K26" s="6" t="s">
        <v>708</v>
      </c>
      <c r="L26" s="6" t="s">
        <v>709</v>
      </c>
      <c r="M26" s="6" t="s">
        <v>240</v>
      </c>
      <c r="N26" s="6" t="s">
        <v>710</v>
      </c>
      <c r="O26" s="20" t="s">
        <v>711</v>
      </c>
      <c r="P26" s="20" t="s">
        <v>236</v>
      </c>
      <c r="Q26" s="22" t="s">
        <v>712</v>
      </c>
      <c r="R26" s="6"/>
      <c r="S26" s="6" t="s">
        <v>713</v>
      </c>
    </row>
    <row r="27" ht="45" customHeight="1" spans="1:19" x14ac:dyDescent="0.25">
      <c r="A27" s="20" t="s">
        <v>235</v>
      </c>
      <c r="B27" s="20" t="s">
        <v>235</v>
      </c>
      <c r="C27" s="6" t="s">
        <v>714</v>
      </c>
      <c r="D27" s="6" t="s">
        <v>715</v>
      </c>
      <c r="E27" s="20">
        <v>5</v>
      </c>
      <c r="F27" s="20"/>
      <c r="G27" s="20" t="s">
        <v>716</v>
      </c>
      <c r="H27" s="27"/>
      <c r="I27" s="20" t="s">
        <v>668</v>
      </c>
      <c r="J27" s="6" t="s">
        <v>717</v>
      </c>
      <c r="K27" s="6" t="s">
        <v>718</v>
      </c>
      <c r="L27" s="6" t="s">
        <v>719</v>
      </c>
      <c r="M27" s="6" t="s">
        <v>240</v>
      </c>
      <c r="N27" s="6" t="s">
        <v>720</v>
      </c>
      <c r="O27" s="20" t="s">
        <v>721</v>
      </c>
      <c r="P27" s="20" t="s">
        <v>236</v>
      </c>
      <c r="Q27" s="22" t="s">
        <v>722</v>
      </c>
      <c r="R27" s="6" t="s">
        <v>723</v>
      </c>
      <c r="S27" s="6" t="s">
        <v>724</v>
      </c>
    </row>
    <row r="28" ht="45" customHeight="1" spans="1:19" x14ac:dyDescent="0.25">
      <c r="A28" s="20" t="s">
        <v>235</v>
      </c>
      <c r="B28" s="20" t="s">
        <v>235</v>
      </c>
      <c r="C28" s="6" t="s">
        <v>725</v>
      </c>
      <c r="D28" s="6" t="s">
        <v>666</v>
      </c>
      <c r="E28" s="20">
        <v>5</v>
      </c>
      <c r="F28" s="20">
        <v>7.5</v>
      </c>
      <c r="G28" s="20" t="s">
        <v>667</v>
      </c>
      <c r="H28" s="27">
        <v>363</v>
      </c>
      <c r="I28" s="20" t="s">
        <v>668</v>
      </c>
      <c r="J28" s="6" t="s">
        <v>726</v>
      </c>
      <c r="K28" s="6" t="s">
        <v>727</v>
      </c>
      <c r="L28" s="6" t="s">
        <v>728</v>
      </c>
      <c r="M28" s="6" t="s">
        <v>240</v>
      </c>
      <c r="N28" s="6" t="s">
        <v>729</v>
      </c>
      <c r="O28" s="20" t="s">
        <v>730</v>
      </c>
      <c r="P28" s="20" t="s">
        <v>269</v>
      </c>
      <c r="Q28" s="22" t="s">
        <v>731</v>
      </c>
      <c r="R28" s="6" t="s">
        <v>732</v>
      </c>
      <c r="S28" s="6" t="s">
        <v>733</v>
      </c>
    </row>
    <row r="29" ht="45" customHeight="1" spans="1:19" x14ac:dyDescent="0.25">
      <c r="A29" s="20" t="s">
        <v>235</v>
      </c>
      <c r="B29" s="20" t="s">
        <v>235</v>
      </c>
      <c r="C29" s="6" t="s">
        <v>725</v>
      </c>
      <c r="D29" s="6" t="s">
        <v>666</v>
      </c>
      <c r="E29" s="20">
        <v>5</v>
      </c>
      <c r="F29" s="20">
        <v>7.5</v>
      </c>
      <c r="G29" s="20" t="s">
        <v>674</v>
      </c>
      <c r="H29" s="27">
        <v>3147</v>
      </c>
      <c r="I29" s="20" t="s">
        <v>668</v>
      </c>
      <c r="J29" s="6" t="s">
        <v>726</v>
      </c>
      <c r="K29" s="6" t="s">
        <v>727</v>
      </c>
      <c r="L29" s="6" t="s">
        <v>728</v>
      </c>
      <c r="M29" s="6" t="s">
        <v>240</v>
      </c>
      <c r="N29" s="6" t="s">
        <v>729</v>
      </c>
      <c r="O29" s="20" t="s">
        <v>730</v>
      </c>
      <c r="P29" s="20" t="s">
        <v>269</v>
      </c>
      <c r="Q29" s="22" t="s">
        <v>731</v>
      </c>
      <c r="R29" s="6" t="s">
        <v>734</v>
      </c>
      <c r="S29" s="6" t="s">
        <v>733</v>
      </c>
    </row>
    <row r="30" ht="45" customHeight="1" spans="1:19" x14ac:dyDescent="0.25">
      <c r="A30" s="20" t="s">
        <v>235</v>
      </c>
      <c r="B30" s="20" t="s">
        <v>235</v>
      </c>
      <c r="C30" s="6" t="s">
        <v>725</v>
      </c>
      <c r="D30" s="6" t="s">
        <v>666</v>
      </c>
      <c r="E30" s="20">
        <v>5</v>
      </c>
      <c r="F30" s="20">
        <v>7.5</v>
      </c>
      <c r="G30" s="20" t="s">
        <v>735</v>
      </c>
      <c r="H30" s="27"/>
      <c r="I30" s="20" t="s">
        <v>668</v>
      </c>
      <c r="J30" s="6" t="s">
        <v>726</v>
      </c>
      <c r="K30" s="6" t="s">
        <v>727</v>
      </c>
      <c r="L30" s="6" t="s">
        <v>728</v>
      </c>
      <c r="M30" s="6" t="s">
        <v>240</v>
      </c>
      <c r="N30" s="6" t="s">
        <v>729</v>
      </c>
      <c r="O30" s="20" t="s">
        <v>730</v>
      </c>
      <c r="P30" s="20" t="s">
        <v>269</v>
      </c>
      <c r="Q30" s="22" t="s">
        <v>731</v>
      </c>
      <c r="R30" s="6" t="s">
        <v>736</v>
      </c>
      <c r="S30" s="6" t="s">
        <v>733</v>
      </c>
    </row>
    <row r="31" ht="45" customHeight="1" spans="1:19" x14ac:dyDescent="0.25">
      <c r="A31" s="20" t="s">
        <v>235</v>
      </c>
      <c r="B31" s="20" t="s">
        <v>235</v>
      </c>
      <c r="C31" s="6" t="s">
        <v>725</v>
      </c>
      <c r="D31" s="6" t="s">
        <v>676</v>
      </c>
      <c r="E31" s="20">
        <v>7.5</v>
      </c>
      <c r="F31" s="20">
        <v>12.5</v>
      </c>
      <c r="G31" s="20" t="s">
        <v>667</v>
      </c>
      <c r="H31" s="27">
        <v>711</v>
      </c>
      <c r="I31" s="20" t="s">
        <v>668</v>
      </c>
      <c r="J31" s="6" t="s">
        <v>726</v>
      </c>
      <c r="K31" s="6" t="s">
        <v>727</v>
      </c>
      <c r="L31" s="6" t="s">
        <v>728</v>
      </c>
      <c r="M31" s="6" t="s">
        <v>240</v>
      </c>
      <c r="N31" s="6" t="s">
        <v>729</v>
      </c>
      <c r="O31" s="20" t="s">
        <v>730</v>
      </c>
      <c r="P31" s="20" t="s">
        <v>269</v>
      </c>
      <c r="Q31" s="22" t="s">
        <v>731</v>
      </c>
      <c r="R31" s="6" t="s">
        <v>737</v>
      </c>
      <c r="S31" s="6" t="s">
        <v>733</v>
      </c>
    </row>
    <row r="32" ht="45" customHeight="1" spans="1:19" x14ac:dyDescent="0.25">
      <c r="A32" s="20" t="s">
        <v>235</v>
      </c>
      <c r="B32" s="20" t="s">
        <v>235</v>
      </c>
      <c r="C32" s="6" t="s">
        <v>725</v>
      </c>
      <c r="D32" s="6" t="s">
        <v>676</v>
      </c>
      <c r="E32" s="20">
        <v>7.5</v>
      </c>
      <c r="F32" s="20">
        <v>12.5</v>
      </c>
      <c r="G32" s="20" t="s">
        <v>674</v>
      </c>
      <c r="H32" s="27">
        <v>6294</v>
      </c>
      <c r="I32" s="20" t="s">
        <v>668</v>
      </c>
      <c r="J32" s="6" t="s">
        <v>726</v>
      </c>
      <c r="K32" s="6" t="s">
        <v>727</v>
      </c>
      <c r="L32" s="6" t="s">
        <v>728</v>
      </c>
      <c r="M32" s="6" t="s">
        <v>240</v>
      </c>
      <c r="N32" s="6" t="s">
        <v>729</v>
      </c>
      <c r="O32" s="20" t="s">
        <v>730</v>
      </c>
      <c r="P32" s="20" t="s">
        <v>269</v>
      </c>
      <c r="Q32" s="22" t="s">
        <v>731</v>
      </c>
      <c r="R32" s="6" t="s">
        <v>738</v>
      </c>
      <c r="S32" s="6" t="s">
        <v>733</v>
      </c>
    </row>
    <row r="33" ht="45" customHeight="1" spans="1:19" x14ac:dyDescent="0.25">
      <c r="A33" s="20" t="s">
        <v>235</v>
      </c>
      <c r="B33" s="20" t="s">
        <v>235</v>
      </c>
      <c r="C33" s="6" t="s">
        <v>725</v>
      </c>
      <c r="D33" s="6" t="s">
        <v>676</v>
      </c>
      <c r="E33" s="20">
        <v>7.5</v>
      </c>
      <c r="F33" s="20">
        <v>12.5</v>
      </c>
      <c r="G33" s="20" t="s">
        <v>735</v>
      </c>
      <c r="H33" s="27"/>
      <c r="I33" s="20" t="s">
        <v>668</v>
      </c>
      <c r="J33" s="6" t="s">
        <v>726</v>
      </c>
      <c r="K33" s="6" t="s">
        <v>727</v>
      </c>
      <c r="L33" s="6" t="s">
        <v>728</v>
      </c>
      <c r="M33" s="6" t="s">
        <v>240</v>
      </c>
      <c r="N33" s="6" t="s">
        <v>729</v>
      </c>
      <c r="O33" s="20" t="s">
        <v>730</v>
      </c>
      <c r="P33" s="20" t="s">
        <v>269</v>
      </c>
      <c r="Q33" s="22" t="s">
        <v>731</v>
      </c>
      <c r="R33" s="6" t="s">
        <v>739</v>
      </c>
      <c r="S33" s="6" t="s">
        <v>733</v>
      </c>
    </row>
    <row r="34" ht="45" customHeight="1" spans="1:19" x14ac:dyDescent="0.25">
      <c r="A34" s="20" t="s">
        <v>235</v>
      </c>
      <c r="B34" s="20" t="s">
        <v>235</v>
      </c>
      <c r="C34" s="6" t="s">
        <v>725</v>
      </c>
      <c r="D34" s="6" t="s">
        <v>679</v>
      </c>
      <c r="E34" s="20">
        <v>12.5</v>
      </c>
      <c r="F34" s="20">
        <v>16</v>
      </c>
      <c r="G34" s="20" t="s">
        <v>667</v>
      </c>
      <c r="H34" s="27">
        <v>1421</v>
      </c>
      <c r="I34" s="20" t="s">
        <v>668</v>
      </c>
      <c r="J34" s="6" t="s">
        <v>726</v>
      </c>
      <c r="K34" s="6" t="s">
        <v>727</v>
      </c>
      <c r="L34" s="6" t="s">
        <v>728</v>
      </c>
      <c r="M34" s="6" t="s">
        <v>240</v>
      </c>
      <c r="N34" s="6" t="s">
        <v>729</v>
      </c>
      <c r="O34" s="20" t="s">
        <v>730</v>
      </c>
      <c r="P34" s="20" t="s">
        <v>269</v>
      </c>
      <c r="Q34" s="22" t="s">
        <v>731</v>
      </c>
      <c r="R34" s="6" t="s">
        <v>740</v>
      </c>
      <c r="S34" s="6" t="s">
        <v>733</v>
      </c>
    </row>
    <row r="35" ht="45" customHeight="1" spans="1:19" x14ac:dyDescent="0.25">
      <c r="A35" s="20" t="s">
        <v>235</v>
      </c>
      <c r="B35" s="20" t="s">
        <v>235</v>
      </c>
      <c r="C35" s="6" t="s">
        <v>725</v>
      </c>
      <c r="D35" s="6" t="s">
        <v>679</v>
      </c>
      <c r="E35" s="20">
        <v>12.5</v>
      </c>
      <c r="F35" s="20">
        <v>16</v>
      </c>
      <c r="G35" s="20" t="s">
        <v>674</v>
      </c>
      <c r="H35" s="27">
        <v>12589</v>
      </c>
      <c r="I35" s="20" t="s">
        <v>668</v>
      </c>
      <c r="J35" s="6" t="s">
        <v>726</v>
      </c>
      <c r="K35" s="6" t="s">
        <v>727</v>
      </c>
      <c r="L35" s="6" t="s">
        <v>728</v>
      </c>
      <c r="M35" s="6" t="s">
        <v>240</v>
      </c>
      <c r="N35" s="6" t="s">
        <v>729</v>
      </c>
      <c r="O35" s="20" t="s">
        <v>730</v>
      </c>
      <c r="P35" s="20" t="s">
        <v>269</v>
      </c>
      <c r="Q35" s="22" t="s">
        <v>731</v>
      </c>
      <c r="R35" s="6" t="s">
        <v>741</v>
      </c>
      <c r="S35" s="6" t="s">
        <v>733</v>
      </c>
    </row>
    <row r="36" ht="45" customHeight="1" spans="1:19" x14ac:dyDescent="0.25">
      <c r="A36" s="20" t="s">
        <v>235</v>
      </c>
      <c r="B36" s="20" t="s">
        <v>235</v>
      </c>
      <c r="C36" s="6" t="s">
        <v>725</v>
      </c>
      <c r="D36" s="6" t="s">
        <v>679</v>
      </c>
      <c r="E36" s="20">
        <v>12.5</v>
      </c>
      <c r="F36" s="20">
        <v>16</v>
      </c>
      <c r="G36" s="20" t="s">
        <v>735</v>
      </c>
      <c r="H36" s="27"/>
      <c r="I36" s="20" t="s">
        <v>668</v>
      </c>
      <c r="J36" s="6" t="s">
        <v>726</v>
      </c>
      <c r="K36" s="6" t="s">
        <v>727</v>
      </c>
      <c r="L36" s="6" t="s">
        <v>728</v>
      </c>
      <c r="M36" s="6" t="s">
        <v>240</v>
      </c>
      <c r="N36" s="6" t="s">
        <v>729</v>
      </c>
      <c r="O36" s="20" t="s">
        <v>730</v>
      </c>
      <c r="P36" s="20" t="s">
        <v>269</v>
      </c>
      <c r="Q36" s="22" t="s">
        <v>731</v>
      </c>
      <c r="R36" s="6" t="s">
        <v>742</v>
      </c>
      <c r="S36" s="6" t="s">
        <v>733</v>
      </c>
    </row>
    <row r="37" ht="45" customHeight="1" spans="1:19" x14ac:dyDescent="0.25">
      <c r="A37" s="20" t="s">
        <v>235</v>
      </c>
      <c r="B37" s="20" t="s">
        <v>235</v>
      </c>
      <c r="C37" s="6" t="s">
        <v>725</v>
      </c>
      <c r="D37" s="6" t="s">
        <v>682</v>
      </c>
      <c r="E37" s="20">
        <v>16</v>
      </c>
      <c r="F37" s="20">
        <v>22</v>
      </c>
      <c r="G37" s="20" t="s">
        <v>667</v>
      </c>
      <c r="H37" s="27">
        <v>2133</v>
      </c>
      <c r="I37" s="20" t="s">
        <v>668</v>
      </c>
      <c r="J37" s="6" t="s">
        <v>726</v>
      </c>
      <c r="K37" s="6" t="s">
        <v>727</v>
      </c>
      <c r="L37" s="6" t="s">
        <v>728</v>
      </c>
      <c r="M37" s="6" t="s">
        <v>240</v>
      </c>
      <c r="N37" s="6" t="s">
        <v>729</v>
      </c>
      <c r="O37" s="20" t="s">
        <v>730</v>
      </c>
      <c r="P37" s="20" t="s">
        <v>269</v>
      </c>
      <c r="Q37" s="22" t="s">
        <v>731</v>
      </c>
      <c r="R37" s="6" t="s">
        <v>743</v>
      </c>
      <c r="S37" s="6" t="s">
        <v>733</v>
      </c>
    </row>
    <row r="38" ht="45" customHeight="1" spans="1:19" x14ac:dyDescent="0.25">
      <c r="A38" s="20" t="s">
        <v>235</v>
      </c>
      <c r="B38" s="20" t="s">
        <v>235</v>
      </c>
      <c r="C38" s="6" t="s">
        <v>725</v>
      </c>
      <c r="D38" s="6" t="s">
        <v>682</v>
      </c>
      <c r="E38" s="20">
        <v>16</v>
      </c>
      <c r="F38" s="20">
        <v>22</v>
      </c>
      <c r="G38" s="20" t="s">
        <v>674</v>
      </c>
      <c r="H38" s="27">
        <v>18884</v>
      </c>
      <c r="I38" s="20" t="s">
        <v>668</v>
      </c>
      <c r="J38" s="6" t="s">
        <v>726</v>
      </c>
      <c r="K38" s="6" t="s">
        <v>727</v>
      </c>
      <c r="L38" s="6" t="s">
        <v>728</v>
      </c>
      <c r="M38" s="6" t="s">
        <v>240</v>
      </c>
      <c r="N38" s="6" t="s">
        <v>729</v>
      </c>
      <c r="O38" s="20" t="s">
        <v>730</v>
      </c>
      <c r="P38" s="20" t="s">
        <v>269</v>
      </c>
      <c r="Q38" s="22" t="s">
        <v>731</v>
      </c>
      <c r="R38" s="6" t="s">
        <v>744</v>
      </c>
      <c r="S38" s="6" t="s">
        <v>733</v>
      </c>
    </row>
    <row r="39" ht="45" customHeight="1" spans="1:19" x14ac:dyDescent="0.25">
      <c r="A39" s="20" t="s">
        <v>235</v>
      </c>
      <c r="B39" s="20" t="s">
        <v>235</v>
      </c>
      <c r="C39" s="6" t="s">
        <v>725</v>
      </c>
      <c r="D39" s="6" t="s">
        <v>682</v>
      </c>
      <c r="E39" s="20">
        <v>16</v>
      </c>
      <c r="F39" s="20">
        <v>22</v>
      </c>
      <c r="G39" s="20" t="s">
        <v>735</v>
      </c>
      <c r="H39" s="27"/>
      <c r="I39" s="20" t="s">
        <v>668</v>
      </c>
      <c r="J39" s="6" t="s">
        <v>726</v>
      </c>
      <c r="K39" s="6" t="s">
        <v>727</v>
      </c>
      <c r="L39" s="6" t="s">
        <v>728</v>
      </c>
      <c r="M39" s="6" t="s">
        <v>240</v>
      </c>
      <c r="N39" s="6" t="s">
        <v>729</v>
      </c>
      <c r="O39" s="20" t="s">
        <v>730</v>
      </c>
      <c r="P39" s="20" t="s">
        <v>269</v>
      </c>
      <c r="Q39" s="22" t="s">
        <v>731</v>
      </c>
      <c r="R39" s="6" t="s">
        <v>745</v>
      </c>
      <c r="S39" s="6" t="s">
        <v>733</v>
      </c>
    </row>
    <row r="40" ht="45" customHeight="1" spans="1:19" x14ac:dyDescent="0.25">
      <c r="A40" s="20" t="s">
        <v>235</v>
      </c>
      <c r="B40" s="20" t="s">
        <v>235</v>
      </c>
      <c r="C40" s="6" t="s">
        <v>725</v>
      </c>
      <c r="D40" s="6" t="s">
        <v>685</v>
      </c>
      <c r="E40" s="20">
        <v>22</v>
      </c>
      <c r="F40" s="20">
        <v>40</v>
      </c>
      <c r="G40" s="20" t="s">
        <v>667</v>
      </c>
      <c r="H40" s="27">
        <v>2843</v>
      </c>
      <c r="I40" s="20" t="s">
        <v>668</v>
      </c>
      <c r="J40" s="6" t="s">
        <v>726</v>
      </c>
      <c r="K40" s="6" t="s">
        <v>727</v>
      </c>
      <c r="L40" s="6" t="s">
        <v>728</v>
      </c>
      <c r="M40" s="6" t="s">
        <v>240</v>
      </c>
      <c r="N40" s="6" t="s">
        <v>729</v>
      </c>
      <c r="O40" s="20" t="s">
        <v>730</v>
      </c>
      <c r="P40" s="20" t="s">
        <v>269</v>
      </c>
      <c r="Q40" s="22" t="s">
        <v>731</v>
      </c>
      <c r="R40" s="6" t="s">
        <v>746</v>
      </c>
      <c r="S40" s="6" t="s">
        <v>733</v>
      </c>
    </row>
    <row r="41" ht="45" customHeight="1" spans="1:19" x14ac:dyDescent="0.25">
      <c r="A41" s="20" t="s">
        <v>235</v>
      </c>
      <c r="B41" s="20" t="s">
        <v>235</v>
      </c>
      <c r="C41" s="6" t="s">
        <v>725</v>
      </c>
      <c r="D41" s="6" t="s">
        <v>685</v>
      </c>
      <c r="E41" s="20">
        <v>22</v>
      </c>
      <c r="F41" s="20">
        <v>40</v>
      </c>
      <c r="G41" s="20" t="s">
        <v>674</v>
      </c>
      <c r="H41" s="27">
        <v>25179</v>
      </c>
      <c r="I41" s="20" t="s">
        <v>668</v>
      </c>
      <c r="J41" s="6" t="s">
        <v>726</v>
      </c>
      <c r="K41" s="6" t="s">
        <v>727</v>
      </c>
      <c r="L41" s="6" t="s">
        <v>728</v>
      </c>
      <c r="M41" s="6" t="s">
        <v>240</v>
      </c>
      <c r="N41" s="6" t="s">
        <v>729</v>
      </c>
      <c r="O41" s="20" t="s">
        <v>730</v>
      </c>
      <c r="P41" s="20" t="s">
        <v>269</v>
      </c>
      <c r="Q41" s="22" t="s">
        <v>731</v>
      </c>
      <c r="R41" s="6" t="s">
        <v>747</v>
      </c>
      <c r="S41" s="6" t="s">
        <v>733</v>
      </c>
    </row>
    <row r="42" ht="45" customHeight="1" spans="1:19" x14ac:dyDescent="0.25">
      <c r="A42" s="20" t="s">
        <v>235</v>
      </c>
      <c r="B42" s="20" t="s">
        <v>235</v>
      </c>
      <c r="C42" s="6" t="s">
        <v>725</v>
      </c>
      <c r="D42" s="6" t="s">
        <v>685</v>
      </c>
      <c r="E42" s="20">
        <v>22</v>
      </c>
      <c r="F42" s="20">
        <v>40</v>
      </c>
      <c r="G42" s="20" t="s">
        <v>735</v>
      </c>
      <c r="H42" s="27"/>
      <c r="I42" s="20" t="s">
        <v>668</v>
      </c>
      <c r="J42" s="6" t="s">
        <v>726</v>
      </c>
      <c r="K42" s="6" t="s">
        <v>727</v>
      </c>
      <c r="L42" s="6" t="s">
        <v>728</v>
      </c>
      <c r="M42" s="6" t="s">
        <v>240</v>
      </c>
      <c r="N42" s="6" t="s">
        <v>729</v>
      </c>
      <c r="O42" s="20" t="s">
        <v>730</v>
      </c>
      <c r="P42" s="20" t="s">
        <v>269</v>
      </c>
      <c r="Q42" s="22" t="s">
        <v>731</v>
      </c>
      <c r="R42" s="6" t="s">
        <v>748</v>
      </c>
      <c r="S42" s="6" t="s">
        <v>733</v>
      </c>
    </row>
    <row r="43" ht="45" customHeight="1" spans="1:19" x14ac:dyDescent="0.25">
      <c r="A43" s="20" t="s">
        <v>235</v>
      </c>
      <c r="B43" s="20" t="s">
        <v>235</v>
      </c>
      <c r="C43" s="6" t="s">
        <v>725</v>
      </c>
      <c r="D43" s="6" t="s">
        <v>688</v>
      </c>
      <c r="E43" s="20">
        <v>40</v>
      </c>
      <c r="F43" s="20"/>
      <c r="G43" s="20" t="s">
        <v>667</v>
      </c>
      <c r="H43" s="27">
        <v>3534</v>
      </c>
      <c r="I43" s="20" t="s">
        <v>668</v>
      </c>
      <c r="J43" s="6" t="s">
        <v>726</v>
      </c>
      <c r="K43" s="6" t="s">
        <v>727</v>
      </c>
      <c r="L43" s="6" t="s">
        <v>728</v>
      </c>
      <c r="M43" s="6" t="s">
        <v>240</v>
      </c>
      <c r="N43" s="6" t="s">
        <v>729</v>
      </c>
      <c r="O43" s="20" t="s">
        <v>730</v>
      </c>
      <c r="P43" s="20" t="s">
        <v>269</v>
      </c>
      <c r="Q43" s="22" t="s">
        <v>731</v>
      </c>
      <c r="R43" s="6" t="s">
        <v>749</v>
      </c>
      <c r="S43" s="6" t="s">
        <v>733</v>
      </c>
    </row>
    <row r="44" ht="45" customHeight="1" spans="1:19" x14ac:dyDescent="0.25">
      <c r="A44" s="20" t="s">
        <v>235</v>
      </c>
      <c r="B44" s="20" t="s">
        <v>235</v>
      </c>
      <c r="C44" s="6" t="s">
        <v>725</v>
      </c>
      <c r="D44" s="6" t="s">
        <v>688</v>
      </c>
      <c r="E44" s="20">
        <v>40</v>
      </c>
      <c r="F44" s="20"/>
      <c r="G44" s="20" t="s">
        <v>674</v>
      </c>
      <c r="H44" s="27">
        <v>31474</v>
      </c>
      <c r="I44" s="20" t="s">
        <v>668</v>
      </c>
      <c r="J44" s="6" t="s">
        <v>726</v>
      </c>
      <c r="K44" s="6" t="s">
        <v>727</v>
      </c>
      <c r="L44" s="6" t="s">
        <v>728</v>
      </c>
      <c r="M44" s="6" t="s">
        <v>240</v>
      </c>
      <c r="N44" s="6" t="s">
        <v>729</v>
      </c>
      <c r="O44" s="20" t="s">
        <v>730</v>
      </c>
      <c r="P44" s="20" t="s">
        <v>269</v>
      </c>
      <c r="Q44" s="22" t="s">
        <v>731</v>
      </c>
      <c r="R44" s="6" t="s">
        <v>750</v>
      </c>
      <c r="S44" s="6" t="s">
        <v>733</v>
      </c>
    </row>
    <row r="45" ht="45" customHeight="1" spans="1:19" x14ac:dyDescent="0.25">
      <c r="A45" s="20" t="s">
        <v>235</v>
      </c>
      <c r="B45" s="20" t="s">
        <v>235</v>
      </c>
      <c r="C45" s="6" t="s">
        <v>725</v>
      </c>
      <c r="D45" s="6" t="s">
        <v>688</v>
      </c>
      <c r="E45" s="20">
        <v>40</v>
      </c>
      <c r="F45" s="20"/>
      <c r="G45" s="20" t="s">
        <v>735</v>
      </c>
      <c r="H45" s="27"/>
      <c r="I45" s="20" t="s">
        <v>668</v>
      </c>
      <c r="J45" s="6" t="s">
        <v>726</v>
      </c>
      <c r="K45" s="6" t="s">
        <v>727</v>
      </c>
      <c r="L45" s="6" t="s">
        <v>728</v>
      </c>
      <c r="M45" s="6" t="s">
        <v>240</v>
      </c>
      <c r="N45" s="6" t="s">
        <v>729</v>
      </c>
      <c r="O45" s="20" t="s">
        <v>730</v>
      </c>
      <c r="P45" s="20" t="s">
        <v>269</v>
      </c>
      <c r="Q45" s="22" t="s">
        <v>731</v>
      </c>
      <c r="R45" s="6" t="s">
        <v>751</v>
      </c>
      <c r="S45" s="6" t="s">
        <v>733</v>
      </c>
    </row>
    <row r="46" ht="45" customHeight="1" spans="1:19" x14ac:dyDescent="0.25">
      <c r="A46" s="20" t="s">
        <v>235</v>
      </c>
      <c r="B46" s="20" t="s">
        <v>235</v>
      </c>
      <c r="C46" s="6" t="s">
        <v>752</v>
      </c>
      <c r="D46" s="6" t="s">
        <v>666</v>
      </c>
      <c r="E46" s="20">
        <v>5</v>
      </c>
      <c r="F46" s="20">
        <v>7.5</v>
      </c>
      <c r="G46" s="20" t="s">
        <v>667</v>
      </c>
      <c r="H46" s="27">
        <v>90</v>
      </c>
      <c r="I46" s="20" t="s">
        <v>668</v>
      </c>
      <c r="J46" s="6" t="s">
        <v>726</v>
      </c>
      <c r="K46" s="6" t="s">
        <v>727</v>
      </c>
      <c r="L46" s="6" t="s">
        <v>728</v>
      </c>
      <c r="M46" s="6" t="s">
        <v>240</v>
      </c>
      <c r="N46" s="6" t="s">
        <v>729</v>
      </c>
      <c r="O46" s="20" t="s">
        <v>730</v>
      </c>
      <c r="P46" s="20" t="s">
        <v>269</v>
      </c>
      <c r="Q46" s="22" t="s">
        <v>731</v>
      </c>
      <c r="R46" s="6" t="s">
        <v>753</v>
      </c>
      <c r="S46" s="6" t="s">
        <v>754</v>
      </c>
    </row>
    <row r="47" ht="45" customHeight="1" spans="1:19" x14ac:dyDescent="0.25">
      <c r="A47" s="20" t="s">
        <v>235</v>
      </c>
      <c r="B47" s="20" t="s">
        <v>235</v>
      </c>
      <c r="C47" s="6" t="s">
        <v>752</v>
      </c>
      <c r="D47" s="6" t="s">
        <v>666</v>
      </c>
      <c r="E47" s="20">
        <v>5</v>
      </c>
      <c r="F47" s="20">
        <v>7.5</v>
      </c>
      <c r="G47" s="20" t="s">
        <v>674</v>
      </c>
      <c r="H47" s="27">
        <v>710</v>
      </c>
      <c r="I47" s="20" t="s">
        <v>668</v>
      </c>
      <c r="J47" s="6" t="s">
        <v>726</v>
      </c>
      <c r="K47" s="6" t="s">
        <v>727</v>
      </c>
      <c r="L47" s="6" t="s">
        <v>728</v>
      </c>
      <c r="M47" s="6" t="s">
        <v>240</v>
      </c>
      <c r="N47" s="6" t="s">
        <v>729</v>
      </c>
      <c r="O47" s="20" t="s">
        <v>730</v>
      </c>
      <c r="P47" s="20" t="s">
        <v>269</v>
      </c>
      <c r="Q47" s="22" t="s">
        <v>731</v>
      </c>
      <c r="R47" s="6" t="s">
        <v>755</v>
      </c>
      <c r="S47" s="6" t="s">
        <v>754</v>
      </c>
    </row>
    <row r="48" ht="45" customHeight="1" spans="1:19" x14ac:dyDescent="0.25">
      <c r="A48" s="20" t="s">
        <v>235</v>
      </c>
      <c r="B48" s="20" t="s">
        <v>235</v>
      </c>
      <c r="C48" s="6" t="s">
        <v>752</v>
      </c>
      <c r="D48" s="6" t="s">
        <v>666</v>
      </c>
      <c r="E48" s="20">
        <v>5</v>
      </c>
      <c r="F48" s="20">
        <v>7.5</v>
      </c>
      <c r="G48" s="20" t="s">
        <v>735</v>
      </c>
      <c r="H48" s="27"/>
      <c r="I48" s="20" t="s">
        <v>668</v>
      </c>
      <c r="J48" s="6" t="s">
        <v>726</v>
      </c>
      <c r="K48" s="6" t="s">
        <v>727</v>
      </c>
      <c r="L48" s="6" t="s">
        <v>728</v>
      </c>
      <c r="M48" s="6" t="s">
        <v>240</v>
      </c>
      <c r="N48" s="6" t="s">
        <v>729</v>
      </c>
      <c r="O48" s="20" t="s">
        <v>730</v>
      </c>
      <c r="P48" s="20" t="s">
        <v>269</v>
      </c>
      <c r="Q48" s="22" t="s">
        <v>731</v>
      </c>
      <c r="R48" s="6" t="s">
        <v>756</v>
      </c>
      <c r="S48" s="6" t="s">
        <v>754</v>
      </c>
    </row>
    <row r="49" ht="45" customHeight="1" spans="1:19" x14ac:dyDescent="0.25">
      <c r="A49" s="20" t="s">
        <v>235</v>
      </c>
      <c r="B49" s="20" t="s">
        <v>235</v>
      </c>
      <c r="C49" s="6" t="s">
        <v>752</v>
      </c>
      <c r="D49" s="6" t="s">
        <v>676</v>
      </c>
      <c r="E49" s="20">
        <v>7.5</v>
      </c>
      <c r="F49" s="20">
        <v>12.5</v>
      </c>
      <c r="G49" s="20" t="s">
        <v>667</v>
      </c>
      <c r="H49" s="27">
        <v>165</v>
      </c>
      <c r="I49" s="20" t="s">
        <v>668</v>
      </c>
      <c r="J49" s="6" t="s">
        <v>726</v>
      </c>
      <c r="K49" s="6" t="s">
        <v>727</v>
      </c>
      <c r="L49" s="6" t="s">
        <v>728</v>
      </c>
      <c r="M49" s="6" t="s">
        <v>240</v>
      </c>
      <c r="N49" s="6" t="s">
        <v>729</v>
      </c>
      <c r="O49" s="20" t="s">
        <v>730</v>
      </c>
      <c r="P49" s="20" t="s">
        <v>269</v>
      </c>
      <c r="Q49" s="22" t="s">
        <v>731</v>
      </c>
      <c r="R49" s="6" t="s">
        <v>757</v>
      </c>
      <c r="S49" s="6" t="s">
        <v>754</v>
      </c>
    </row>
    <row r="50" ht="45" customHeight="1" spans="1:19" x14ac:dyDescent="0.25">
      <c r="A50" s="20" t="s">
        <v>235</v>
      </c>
      <c r="B50" s="20" t="s">
        <v>235</v>
      </c>
      <c r="C50" s="6" t="s">
        <v>752</v>
      </c>
      <c r="D50" s="6" t="s">
        <v>676</v>
      </c>
      <c r="E50" s="20">
        <v>7.5</v>
      </c>
      <c r="F50" s="20">
        <v>12.5</v>
      </c>
      <c r="G50" s="20" t="s">
        <v>674</v>
      </c>
      <c r="H50" s="27">
        <v>1420</v>
      </c>
      <c r="I50" s="20" t="s">
        <v>668</v>
      </c>
      <c r="J50" s="6" t="s">
        <v>726</v>
      </c>
      <c r="K50" s="6" t="s">
        <v>727</v>
      </c>
      <c r="L50" s="6" t="s">
        <v>728</v>
      </c>
      <c r="M50" s="6" t="s">
        <v>240</v>
      </c>
      <c r="N50" s="6" t="s">
        <v>729</v>
      </c>
      <c r="O50" s="20" t="s">
        <v>730</v>
      </c>
      <c r="P50" s="20" t="s">
        <v>269</v>
      </c>
      <c r="Q50" s="22" t="s">
        <v>731</v>
      </c>
      <c r="R50" s="6" t="s">
        <v>758</v>
      </c>
      <c r="S50" s="6" t="s">
        <v>754</v>
      </c>
    </row>
    <row r="51" ht="45" customHeight="1" spans="1:19" x14ac:dyDescent="0.25">
      <c r="A51" s="20" t="s">
        <v>235</v>
      </c>
      <c r="B51" s="20" t="s">
        <v>235</v>
      </c>
      <c r="C51" s="6" t="s">
        <v>752</v>
      </c>
      <c r="D51" s="6" t="s">
        <v>676</v>
      </c>
      <c r="E51" s="20">
        <v>7.5</v>
      </c>
      <c r="F51" s="20">
        <v>12.5</v>
      </c>
      <c r="G51" s="20" t="s">
        <v>735</v>
      </c>
      <c r="H51" s="27"/>
      <c r="I51" s="20" t="s">
        <v>668</v>
      </c>
      <c r="J51" s="6" t="s">
        <v>726</v>
      </c>
      <c r="K51" s="6" t="s">
        <v>727</v>
      </c>
      <c r="L51" s="6" t="s">
        <v>728</v>
      </c>
      <c r="M51" s="6" t="s">
        <v>240</v>
      </c>
      <c r="N51" s="6" t="s">
        <v>729</v>
      </c>
      <c r="O51" s="20" t="s">
        <v>730</v>
      </c>
      <c r="P51" s="20" t="s">
        <v>269</v>
      </c>
      <c r="Q51" s="22" t="s">
        <v>731</v>
      </c>
      <c r="R51" s="6" t="s">
        <v>759</v>
      </c>
      <c r="S51" s="6" t="s">
        <v>754</v>
      </c>
    </row>
    <row r="52" ht="45" customHeight="1" spans="1:19" x14ac:dyDescent="0.25">
      <c r="A52" s="20" t="s">
        <v>235</v>
      </c>
      <c r="B52" s="20" t="s">
        <v>235</v>
      </c>
      <c r="C52" s="6" t="s">
        <v>752</v>
      </c>
      <c r="D52" s="6" t="s">
        <v>679</v>
      </c>
      <c r="E52" s="20">
        <v>12.5</v>
      </c>
      <c r="F52" s="20">
        <v>16</v>
      </c>
      <c r="G52" s="20" t="s">
        <v>667</v>
      </c>
      <c r="H52" s="27">
        <v>250</v>
      </c>
      <c r="I52" s="20" t="s">
        <v>668</v>
      </c>
      <c r="J52" s="6" t="s">
        <v>726</v>
      </c>
      <c r="K52" s="6" t="s">
        <v>727</v>
      </c>
      <c r="L52" s="6" t="s">
        <v>728</v>
      </c>
      <c r="M52" s="6" t="s">
        <v>240</v>
      </c>
      <c r="N52" s="6" t="s">
        <v>729</v>
      </c>
      <c r="O52" s="20" t="s">
        <v>730</v>
      </c>
      <c r="P52" s="20" t="s">
        <v>269</v>
      </c>
      <c r="Q52" s="22" t="s">
        <v>731</v>
      </c>
      <c r="R52" s="6" t="s">
        <v>760</v>
      </c>
      <c r="S52" s="6" t="s">
        <v>754</v>
      </c>
    </row>
    <row r="53" ht="45" customHeight="1" spans="1:19" x14ac:dyDescent="0.25">
      <c r="A53" s="20" t="s">
        <v>235</v>
      </c>
      <c r="B53" s="20" t="s">
        <v>235</v>
      </c>
      <c r="C53" s="6" t="s">
        <v>752</v>
      </c>
      <c r="D53" s="6" t="s">
        <v>679</v>
      </c>
      <c r="E53" s="20">
        <v>12.5</v>
      </c>
      <c r="F53" s="20">
        <v>16</v>
      </c>
      <c r="G53" s="20" t="s">
        <v>674</v>
      </c>
      <c r="H53" s="27">
        <v>2125</v>
      </c>
      <c r="I53" s="20" t="s">
        <v>668</v>
      </c>
      <c r="J53" s="6" t="s">
        <v>726</v>
      </c>
      <c r="K53" s="6" t="s">
        <v>727</v>
      </c>
      <c r="L53" s="6" t="s">
        <v>728</v>
      </c>
      <c r="M53" s="6" t="s">
        <v>240</v>
      </c>
      <c r="N53" s="6" t="s">
        <v>729</v>
      </c>
      <c r="O53" s="20" t="s">
        <v>730</v>
      </c>
      <c r="P53" s="20" t="s">
        <v>269</v>
      </c>
      <c r="Q53" s="22" t="s">
        <v>731</v>
      </c>
      <c r="R53" s="6" t="s">
        <v>761</v>
      </c>
      <c r="S53" s="6" t="s">
        <v>754</v>
      </c>
    </row>
    <row r="54" ht="45" customHeight="1" spans="1:19" x14ac:dyDescent="0.25">
      <c r="A54" s="20" t="s">
        <v>235</v>
      </c>
      <c r="B54" s="20" t="s">
        <v>235</v>
      </c>
      <c r="C54" s="6" t="s">
        <v>752</v>
      </c>
      <c r="D54" s="6" t="s">
        <v>679</v>
      </c>
      <c r="E54" s="20">
        <v>12.5</v>
      </c>
      <c r="F54" s="20">
        <v>16</v>
      </c>
      <c r="G54" s="20" t="s">
        <v>735</v>
      </c>
      <c r="H54" s="27"/>
      <c r="I54" s="20" t="s">
        <v>668</v>
      </c>
      <c r="J54" s="6" t="s">
        <v>726</v>
      </c>
      <c r="K54" s="6" t="s">
        <v>727</v>
      </c>
      <c r="L54" s="6" t="s">
        <v>728</v>
      </c>
      <c r="M54" s="6" t="s">
        <v>240</v>
      </c>
      <c r="N54" s="6" t="s">
        <v>729</v>
      </c>
      <c r="O54" s="20" t="s">
        <v>730</v>
      </c>
      <c r="P54" s="20" t="s">
        <v>269</v>
      </c>
      <c r="Q54" s="22" t="s">
        <v>731</v>
      </c>
      <c r="R54" s="6" t="s">
        <v>762</v>
      </c>
      <c r="S54" s="6" t="s">
        <v>754</v>
      </c>
    </row>
    <row r="55" ht="45" customHeight="1" spans="1:19" x14ac:dyDescent="0.25">
      <c r="A55" s="20" t="s">
        <v>235</v>
      </c>
      <c r="B55" s="20" t="s">
        <v>235</v>
      </c>
      <c r="C55" s="6" t="s">
        <v>752</v>
      </c>
      <c r="D55" s="6" t="s">
        <v>682</v>
      </c>
      <c r="E55" s="20">
        <v>16</v>
      </c>
      <c r="F55" s="20">
        <v>22</v>
      </c>
      <c r="G55" s="20" t="s">
        <v>667</v>
      </c>
      <c r="H55" s="27">
        <v>325</v>
      </c>
      <c r="I55" s="20" t="s">
        <v>668</v>
      </c>
      <c r="J55" s="6" t="s">
        <v>726</v>
      </c>
      <c r="K55" s="6" t="s">
        <v>727</v>
      </c>
      <c r="L55" s="6" t="s">
        <v>728</v>
      </c>
      <c r="M55" s="6" t="s">
        <v>240</v>
      </c>
      <c r="N55" s="6" t="s">
        <v>729</v>
      </c>
      <c r="O55" s="20" t="s">
        <v>730</v>
      </c>
      <c r="P55" s="20" t="s">
        <v>269</v>
      </c>
      <c r="Q55" s="22" t="s">
        <v>731</v>
      </c>
      <c r="R55" s="6" t="s">
        <v>732</v>
      </c>
      <c r="S55" s="6" t="s">
        <v>754</v>
      </c>
    </row>
    <row r="56" ht="45" customHeight="1" spans="1:19" x14ac:dyDescent="0.25">
      <c r="A56" s="20" t="s">
        <v>235</v>
      </c>
      <c r="B56" s="20" t="s">
        <v>235</v>
      </c>
      <c r="C56" s="6" t="s">
        <v>752</v>
      </c>
      <c r="D56" s="6" t="s">
        <v>682</v>
      </c>
      <c r="E56" s="20">
        <v>16</v>
      </c>
      <c r="F56" s="20">
        <v>22</v>
      </c>
      <c r="G56" s="20" t="s">
        <v>674</v>
      </c>
      <c r="H56" s="27">
        <v>2835</v>
      </c>
      <c r="I56" s="20" t="s">
        <v>668</v>
      </c>
      <c r="J56" s="6" t="s">
        <v>726</v>
      </c>
      <c r="K56" s="6" t="s">
        <v>727</v>
      </c>
      <c r="L56" s="6" t="s">
        <v>728</v>
      </c>
      <c r="M56" s="6" t="s">
        <v>240</v>
      </c>
      <c r="N56" s="6" t="s">
        <v>729</v>
      </c>
      <c r="O56" s="20" t="s">
        <v>730</v>
      </c>
      <c r="P56" s="20" t="s">
        <v>269</v>
      </c>
      <c r="Q56" s="22" t="s">
        <v>731</v>
      </c>
      <c r="R56" s="6" t="s">
        <v>734</v>
      </c>
      <c r="S56" s="6" t="s">
        <v>754</v>
      </c>
    </row>
    <row r="57" ht="45" customHeight="1" spans="1:19" x14ac:dyDescent="0.25">
      <c r="A57" s="20" t="s">
        <v>235</v>
      </c>
      <c r="B57" s="20" t="s">
        <v>235</v>
      </c>
      <c r="C57" s="6" t="s">
        <v>752</v>
      </c>
      <c r="D57" s="6" t="s">
        <v>682</v>
      </c>
      <c r="E57" s="20">
        <v>16</v>
      </c>
      <c r="F57" s="20">
        <v>22</v>
      </c>
      <c r="G57" s="20" t="s">
        <v>735</v>
      </c>
      <c r="H57" s="27"/>
      <c r="I57" s="20" t="s">
        <v>668</v>
      </c>
      <c r="J57" s="6" t="s">
        <v>726</v>
      </c>
      <c r="K57" s="6" t="s">
        <v>727</v>
      </c>
      <c r="L57" s="6" t="s">
        <v>728</v>
      </c>
      <c r="M57" s="6" t="s">
        <v>240</v>
      </c>
      <c r="N57" s="6" t="s">
        <v>729</v>
      </c>
      <c r="O57" s="20" t="s">
        <v>730</v>
      </c>
      <c r="P57" s="20" t="s">
        <v>269</v>
      </c>
      <c r="Q57" s="22" t="s">
        <v>731</v>
      </c>
      <c r="R57" s="6" t="s">
        <v>763</v>
      </c>
      <c r="S57" s="6" t="s">
        <v>754</v>
      </c>
    </row>
    <row r="58" ht="45" customHeight="1" spans="1:19" x14ac:dyDescent="0.25">
      <c r="A58" s="20" t="s">
        <v>235</v>
      </c>
      <c r="B58" s="20" t="s">
        <v>235</v>
      </c>
      <c r="C58" s="6" t="s">
        <v>752</v>
      </c>
      <c r="D58" s="6" t="s">
        <v>685</v>
      </c>
      <c r="E58" s="20">
        <v>22</v>
      </c>
      <c r="F58" s="20">
        <v>40</v>
      </c>
      <c r="G58" s="20" t="s">
        <v>667</v>
      </c>
      <c r="H58" s="27">
        <v>400</v>
      </c>
      <c r="I58" s="20" t="s">
        <v>668</v>
      </c>
      <c r="J58" s="6" t="s">
        <v>726</v>
      </c>
      <c r="K58" s="6" t="s">
        <v>727</v>
      </c>
      <c r="L58" s="6" t="s">
        <v>728</v>
      </c>
      <c r="M58" s="6" t="s">
        <v>240</v>
      </c>
      <c r="N58" s="6" t="s">
        <v>729</v>
      </c>
      <c r="O58" s="20" t="s">
        <v>730</v>
      </c>
      <c r="P58" s="20" t="s">
        <v>269</v>
      </c>
      <c r="Q58" s="22" t="s">
        <v>731</v>
      </c>
      <c r="R58" s="6" t="s">
        <v>764</v>
      </c>
      <c r="S58" s="6" t="s">
        <v>754</v>
      </c>
    </row>
    <row r="59" ht="45" customHeight="1" spans="1:19" x14ac:dyDescent="0.25">
      <c r="A59" s="20" t="s">
        <v>235</v>
      </c>
      <c r="B59" s="20" t="s">
        <v>235</v>
      </c>
      <c r="C59" s="6" t="s">
        <v>752</v>
      </c>
      <c r="D59" s="6" t="s">
        <v>685</v>
      </c>
      <c r="E59" s="20">
        <v>22</v>
      </c>
      <c r="F59" s="20">
        <v>40</v>
      </c>
      <c r="G59" s="20" t="s">
        <v>674</v>
      </c>
      <c r="H59" s="27">
        <v>3550</v>
      </c>
      <c r="I59" s="20" t="s">
        <v>668</v>
      </c>
      <c r="J59" s="6" t="s">
        <v>726</v>
      </c>
      <c r="K59" s="6" t="s">
        <v>727</v>
      </c>
      <c r="L59" s="6" t="s">
        <v>728</v>
      </c>
      <c r="M59" s="6" t="s">
        <v>240</v>
      </c>
      <c r="N59" s="6" t="s">
        <v>729</v>
      </c>
      <c r="O59" s="20" t="s">
        <v>730</v>
      </c>
      <c r="P59" s="20" t="s">
        <v>269</v>
      </c>
      <c r="Q59" s="22" t="s">
        <v>731</v>
      </c>
      <c r="R59" s="6" t="s">
        <v>765</v>
      </c>
      <c r="S59" s="6" t="s">
        <v>754</v>
      </c>
    </row>
    <row r="60" ht="45" customHeight="1" spans="1:19" x14ac:dyDescent="0.25">
      <c r="A60" s="20" t="s">
        <v>235</v>
      </c>
      <c r="B60" s="20" t="s">
        <v>235</v>
      </c>
      <c r="C60" s="6" t="s">
        <v>752</v>
      </c>
      <c r="D60" s="6" t="s">
        <v>685</v>
      </c>
      <c r="E60" s="20">
        <v>22</v>
      </c>
      <c r="F60" s="20">
        <v>40</v>
      </c>
      <c r="G60" s="20" t="s">
        <v>735</v>
      </c>
      <c r="H60" s="27"/>
      <c r="I60" s="20" t="s">
        <v>668</v>
      </c>
      <c r="J60" s="6" t="s">
        <v>726</v>
      </c>
      <c r="K60" s="6" t="s">
        <v>727</v>
      </c>
      <c r="L60" s="6" t="s">
        <v>728</v>
      </c>
      <c r="M60" s="6" t="s">
        <v>240</v>
      </c>
      <c r="N60" s="6" t="s">
        <v>729</v>
      </c>
      <c r="O60" s="20" t="s">
        <v>730</v>
      </c>
      <c r="P60" s="20" t="s">
        <v>269</v>
      </c>
      <c r="Q60" s="22" t="s">
        <v>731</v>
      </c>
      <c r="R60" s="6" t="s">
        <v>766</v>
      </c>
      <c r="S60" s="6" t="s">
        <v>754</v>
      </c>
    </row>
    <row r="61" ht="45" customHeight="1" spans="1:19" x14ac:dyDescent="0.25">
      <c r="A61" s="20" t="s">
        <v>235</v>
      </c>
      <c r="B61" s="20" t="s">
        <v>235</v>
      </c>
      <c r="C61" s="6" t="s">
        <v>752</v>
      </c>
      <c r="D61" s="6" t="s">
        <v>688</v>
      </c>
      <c r="E61" s="20">
        <v>40</v>
      </c>
      <c r="F61" s="20"/>
      <c r="G61" s="20" t="s">
        <v>667</v>
      </c>
      <c r="H61" s="27">
        <v>495</v>
      </c>
      <c r="I61" s="20" t="s">
        <v>668</v>
      </c>
      <c r="J61" s="6" t="s">
        <v>726</v>
      </c>
      <c r="K61" s="6" t="s">
        <v>727</v>
      </c>
      <c r="L61" s="6" t="s">
        <v>728</v>
      </c>
      <c r="M61" s="6" t="s">
        <v>240</v>
      </c>
      <c r="N61" s="6" t="s">
        <v>729</v>
      </c>
      <c r="O61" s="20" t="s">
        <v>730</v>
      </c>
      <c r="P61" s="20" t="s">
        <v>269</v>
      </c>
      <c r="Q61" s="22" t="s">
        <v>731</v>
      </c>
      <c r="R61" s="6" t="s">
        <v>767</v>
      </c>
      <c r="S61" s="6" t="s">
        <v>754</v>
      </c>
    </row>
    <row r="62" ht="45" customHeight="1" spans="1:19" x14ac:dyDescent="0.25">
      <c r="A62" s="20" t="s">
        <v>235</v>
      </c>
      <c r="B62" s="20" t="s">
        <v>235</v>
      </c>
      <c r="C62" s="6" t="s">
        <v>752</v>
      </c>
      <c r="D62" s="6" t="s">
        <v>688</v>
      </c>
      <c r="E62" s="20">
        <v>40</v>
      </c>
      <c r="F62" s="20"/>
      <c r="G62" s="20" t="s">
        <v>674</v>
      </c>
      <c r="H62" s="27">
        <v>4250</v>
      </c>
      <c r="I62" s="20" t="s">
        <v>668</v>
      </c>
      <c r="J62" s="6" t="s">
        <v>726</v>
      </c>
      <c r="K62" s="6" t="s">
        <v>727</v>
      </c>
      <c r="L62" s="6" t="s">
        <v>728</v>
      </c>
      <c r="M62" s="6" t="s">
        <v>240</v>
      </c>
      <c r="N62" s="6" t="s">
        <v>729</v>
      </c>
      <c r="O62" s="20" t="s">
        <v>730</v>
      </c>
      <c r="P62" s="20" t="s">
        <v>269</v>
      </c>
      <c r="Q62" s="22" t="s">
        <v>731</v>
      </c>
      <c r="R62" s="6" t="s">
        <v>768</v>
      </c>
      <c r="S62" s="6" t="s">
        <v>754</v>
      </c>
    </row>
    <row r="63" ht="45" customHeight="1" spans="1:19" x14ac:dyDescent="0.25">
      <c r="A63" s="20" t="s">
        <v>235</v>
      </c>
      <c r="B63" s="20" t="s">
        <v>235</v>
      </c>
      <c r="C63" s="6" t="s">
        <v>752</v>
      </c>
      <c r="D63" s="6" t="s">
        <v>688</v>
      </c>
      <c r="E63" s="20">
        <v>40</v>
      </c>
      <c r="F63" s="20"/>
      <c r="G63" s="20" t="s">
        <v>735</v>
      </c>
      <c r="H63" s="27"/>
      <c r="I63" s="20" t="s">
        <v>668</v>
      </c>
      <c r="J63" s="6" t="s">
        <v>726</v>
      </c>
      <c r="K63" s="6" t="s">
        <v>727</v>
      </c>
      <c r="L63" s="6" t="s">
        <v>728</v>
      </c>
      <c r="M63" s="6" t="s">
        <v>240</v>
      </c>
      <c r="N63" s="6" t="s">
        <v>729</v>
      </c>
      <c r="O63" s="20" t="s">
        <v>730</v>
      </c>
      <c r="P63" s="20" t="s">
        <v>269</v>
      </c>
      <c r="Q63" s="22" t="s">
        <v>731</v>
      </c>
      <c r="R63" s="6" t="s">
        <v>769</v>
      </c>
      <c r="S63" s="6" t="s">
        <v>754</v>
      </c>
    </row>
    <row r="64" ht="45" customHeight="1" spans="1:19" x14ac:dyDescent="0.25">
      <c r="A64" s="20" t="s">
        <v>235</v>
      </c>
      <c r="B64" s="20" t="s">
        <v>235</v>
      </c>
      <c r="C64" s="6" t="s">
        <v>770</v>
      </c>
      <c r="D64" s="6" t="s">
        <v>705</v>
      </c>
      <c r="E64" s="20"/>
      <c r="F64" s="20">
        <v>5</v>
      </c>
      <c r="G64" s="20" t="s">
        <v>706</v>
      </c>
      <c r="H64" s="27"/>
      <c r="I64" s="20" t="s">
        <v>668</v>
      </c>
      <c r="J64" s="6" t="s">
        <v>771</v>
      </c>
      <c r="K64" s="6" t="s">
        <v>772</v>
      </c>
      <c r="L64" s="6" t="s">
        <v>709</v>
      </c>
      <c r="M64" s="6" t="s">
        <v>240</v>
      </c>
      <c r="N64" s="6" t="s">
        <v>729</v>
      </c>
      <c r="O64" s="20" t="s">
        <v>773</v>
      </c>
      <c r="P64" s="20" t="s">
        <v>269</v>
      </c>
      <c r="Q64" s="22" t="s">
        <v>731</v>
      </c>
      <c r="R64" s="6" t="s">
        <v>774</v>
      </c>
      <c r="S64" s="6" t="s">
        <v>775</v>
      </c>
    </row>
    <row r="65" ht="45" customHeight="1" spans="1:19" x14ac:dyDescent="0.25">
      <c r="A65" s="20" t="s">
        <v>243</v>
      </c>
      <c r="B65" s="20" t="s">
        <v>244</v>
      </c>
      <c r="C65" s="6"/>
      <c r="D65" s="6"/>
      <c r="E65" s="20"/>
      <c r="F65" s="20"/>
      <c r="G65" s="20" t="s">
        <v>463</v>
      </c>
      <c r="H65" s="27"/>
      <c r="I65" s="20"/>
      <c r="J65" s="6"/>
      <c r="K65" s="6"/>
      <c r="L65" s="6"/>
      <c r="M65" s="6" t="s">
        <v>246</v>
      </c>
      <c r="N65" s="6" t="s">
        <v>245</v>
      </c>
      <c r="O65" s="20" t="s">
        <v>776</v>
      </c>
      <c r="P65" s="20" t="s">
        <v>297</v>
      </c>
      <c r="Q65" s="22" t="s">
        <v>248</v>
      </c>
      <c r="R65" s="6" t="s">
        <v>777</v>
      </c>
      <c r="S65" s="6"/>
    </row>
    <row r="66" ht="45" customHeight="1" spans="1:19" x14ac:dyDescent="0.25">
      <c r="A66" s="20" t="s">
        <v>243</v>
      </c>
      <c r="B66" s="20" t="s">
        <v>249</v>
      </c>
      <c r="C66" s="6" t="s">
        <v>778</v>
      </c>
      <c r="D66" s="6" t="s">
        <v>779</v>
      </c>
      <c r="E66" s="20">
        <v>7.5</v>
      </c>
      <c r="F66" s="20"/>
      <c r="G66" s="20" t="s">
        <v>667</v>
      </c>
      <c r="H66" s="27">
        <v>80</v>
      </c>
      <c r="I66" s="20" t="s">
        <v>668</v>
      </c>
      <c r="J66" s="6"/>
      <c r="K66" s="6" t="s">
        <v>780</v>
      </c>
      <c r="L66" s="6" t="s">
        <v>252</v>
      </c>
      <c r="M66" s="6" t="s">
        <v>253</v>
      </c>
      <c r="N66" s="6" t="s">
        <v>251</v>
      </c>
      <c r="O66" s="20" t="s">
        <v>781</v>
      </c>
      <c r="P66" s="20" t="s">
        <v>236</v>
      </c>
      <c r="Q66" s="22" t="s">
        <v>255</v>
      </c>
      <c r="R66" s="6" t="s">
        <v>782</v>
      </c>
      <c r="S66" s="6" t="s">
        <v>783</v>
      </c>
    </row>
    <row r="67" ht="45" customHeight="1" spans="1:19" x14ac:dyDescent="0.25">
      <c r="A67" s="20" t="s">
        <v>243</v>
      </c>
      <c r="B67" s="20" t="s">
        <v>249</v>
      </c>
      <c r="C67" s="6" t="s">
        <v>778</v>
      </c>
      <c r="D67" s="6" t="s">
        <v>784</v>
      </c>
      <c r="E67" s="20">
        <v>7.5</v>
      </c>
      <c r="F67" s="20"/>
      <c r="G67" s="20" t="s">
        <v>667</v>
      </c>
      <c r="H67" s="27">
        <v>169</v>
      </c>
      <c r="I67" s="20" t="s">
        <v>668</v>
      </c>
      <c r="J67" s="6"/>
      <c r="K67" s="6" t="s">
        <v>780</v>
      </c>
      <c r="L67" s="6" t="s">
        <v>252</v>
      </c>
      <c r="M67" s="6" t="s">
        <v>253</v>
      </c>
      <c r="N67" s="6" t="s">
        <v>251</v>
      </c>
      <c r="O67" s="20" t="s">
        <v>781</v>
      </c>
      <c r="P67" s="20" t="s">
        <v>236</v>
      </c>
      <c r="Q67" s="22" t="s">
        <v>255</v>
      </c>
      <c r="R67" s="6" t="s">
        <v>782</v>
      </c>
      <c r="S67" s="6" t="s">
        <v>783</v>
      </c>
    </row>
    <row r="68" ht="45" customHeight="1" spans="1:19" x14ac:dyDescent="0.25">
      <c r="A68" s="20" t="s">
        <v>243</v>
      </c>
      <c r="B68" s="20" t="s">
        <v>249</v>
      </c>
      <c r="C68" s="6" t="s">
        <v>778</v>
      </c>
      <c r="D68" s="6" t="s">
        <v>779</v>
      </c>
      <c r="E68" s="20">
        <v>7.5</v>
      </c>
      <c r="F68" s="20"/>
      <c r="G68" s="20" t="s">
        <v>674</v>
      </c>
      <c r="H68" s="27">
        <v>367</v>
      </c>
      <c r="I68" s="20" t="s">
        <v>668</v>
      </c>
      <c r="J68" s="6"/>
      <c r="K68" s="6" t="s">
        <v>780</v>
      </c>
      <c r="L68" s="6" t="s">
        <v>252</v>
      </c>
      <c r="M68" s="6" t="s">
        <v>253</v>
      </c>
      <c r="N68" s="6" t="s">
        <v>251</v>
      </c>
      <c r="O68" s="20" t="s">
        <v>781</v>
      </c>
      <c r="P68" s="20" t="s">
        <v>236</v>
      </c>
      <c r="Q68" s="22" t="s">
        <v>255</v>
      </c>
      <c r="R68" s="6" t="s">
        <v>782</v>
      </c>
      <c r="S68" s="6" t="s">
        <v>783</v>
      </c>
    </row>
    <row r="69" ht="45" customHeight="1" spans="1:19" x14ac:dyDescent="0.25">
      <c r="A69" s="20" t="s">
        <v>243</v>
      </c>
      <c r="B69" s="20" t="s">
        <v>249</v>
      </c>
      <c r="C69" s="6" t="s">
        <v>778</v>
      </c>
      <c r="D69" s="6" t="s">
        <v>784</v>
      </c>
      <c r="E69" s="20">
        <v>7.5</v>
      </c>
      <c r="F69" s="20"/>
      <c r="G69" s="20" t="s">
        <v>674</v>
      </c>
      <c r="H69" s="27">
        <v>795</v>
      </c>
      <c r="I69" s="20" t="s">
        <v>668</v>
      </c>
      <c r="J69" s="6"/>
      <c r="K69" s="6" t="s">
        <v>780</v>
      </c>
      <c r="L69" s="6" t="s">
        <v>252</v>
      </c>
      <c r="M69" s="6" t="s">
        <v>253</v>
      </c>
      <c r="N69" s="6" t="s">
        <v>251</v>
      </c>
      <c r="O69" s="20" t="s">
        <v>781</v>
      </c>
      <c r="P69" s="20" t="s">
        <v>236</v>
      </c>
      <c r="Q69" s="22" t="s">
        <v>255</v>
      </c>
      <c r="R69" s="6" t="s">
        <v>782</v>
      </c>
      <c r="S69" s="6" t="s">
        <v>783</v>
      </c>
    </row>
    <row r="70" ht="45" customHeight="1" spans="1:19" x14ac:dyDescent="0.25">
      <c r="A70" s="20" t="s">
        <v>243</v>
      </c>
      <c r="B70" s="20" t="s">
        <v>249</v>
      </c>
      <c r="C70" s="6" t="s">
        <v>778</v>
      </c>
      <c r="D70" s="6" t="s">
        <v>779</v>
      </c>
      <c r="E70" s="20">
        <v>7.5</v>
      </c>
      <c r="F70" s="20"/>
      <c r="G70" s="20" t="s">
        <v>785</v>
      </c>
      <c r="H70" s="27">
        <v>790</v>
      </c>
      <c r="I70" s="20" t="s">
        <v>668</v>
      </c>
      <c r="J70" s="6"/>
      <c r="K70" s="6" t="s">
        <v>786</v>
      </c>
      <c r="L70" s="6" t="s">
        <v>252</v>
      </c>
      <c r="M70" s="6" t="s">
        <v>253</v>
      </c>
      <c r="N70" s="6" t="s">
        <v>251</v>
      </c>
      <c r="O70" s="20" t="s">
        <v>781</v>
      </c>
      <c r="P70" s="20" t="s">
        <v>236</v>
      </c>
      <c r="Q70" s="22" t="s">
        <v>255</v>
      </c>
      <c r="R70" s="6" t="s">
        <v>782</v>
      </c>
      <c r="S70" s="6" t="s">
        <v>783</v>
      </c>
    </row>
    <row r="71" ht="45" customHeight="1" spans="1:19" x14ac:dyDescent="0.25">
      <c r="A71" s="20" t="s">
        <v>243</v>
      </c>
      <c r="B71" s="20" t="s">
        <v>249</v>
      </c>
      <c r="C71" s="6" t="s">
        <v>778</v>
      </c>
      <c r="D71" s="6" t="s">
        <v>784</v>
      </c>
      <c r="E71" s="20">
        <v>7.5</v>
      </c>
      <c r="F71" s="20"/>
      <c r="G71" s="20" t="s">
        <v>785</v>
      </c>
      <c r="H71" s="27">
        <v>1592</v>
      </c>
      <c r="I71" s="20" t="s">
        <v>668</v>
      </c>
      <c r="J71" s="6"/>
      <c r="K71" s="6" t="s">
        <v>786</v>
      </c>
      <c r="L71" s="6" t="s">
        <v>252</v>
      </c>
      <c r="M71" s="6" t="s">
        <v>253</v>
      </c>
      <c r="N71" s="6" t="s">
        <v>251</v>
      </c>
      <c r="O71" s="20" t="s">
        <v>781</v>
      </c>
      <c r="P71" s="20" t="s">
        <v>236</v>
      </c>
      <c r="Q71" s="22" t="s">
        <v>255</v>
      </c>
      <c r="R71" s="6" t="s">
        <v>782</v>
      </c>
      <c r="S71" s="6" t="s">
        <v>783</v>
      </c>
    </row>
    <row r="72" ht="45" customHeight="1" spans="1:19" x14ac:dyDescent="0.25">
      <c r="A72" s="20" t="s">
        <v>243</v>
      </c>
      <c r="B72" s="20" t="s">
        <v>249</v>
      </c>
      <c r="C72" s="6" t="s">
        <v>778</v>
      </c>
      <c r="D72" s="6" t="s">
        <v>779</v>
      </c>
      <c r="E72" s="20">
        <v>7.5</v>
      </c>
      <c r="F72" s="20"/>
      <c r="G72" s="20" t="s">
        <v>735</v>
      </c>
      <c r="H72" s="27">
        <v>1432</v>
      </c>
      <c r="I72" s="20" t="s">
        <v>668</v>
      </c>
      <c r="J72" s="6"/>
      <c r="K72" s="6" t="s">
        <v>780</v>
      </c>
      <c r="L72" s="6" t="s">
        <v>252</v>
      </c>
      <c r="M72" s="6" t="s">
        <v>253</v>
      </c>
      <c r="N72" s="6" t="s">
        <v>251</v>
      </c>
      <c r="O72" s="20" t="s">
        <v>781</v>
      </c>
      <c r="P72" s="20" t="s">
        <v>236</v>
      </c>
      <c r="Q72" s="22" t="s">
        <v>255</v>
      </c>
      <c r="R72" s="6" t="s">
        <v>782</v>
      </c>
      <c r="S72" s="6" t="s">
        <v>783</v>
      </c>
    </row>
    <row r="73" ht="45" customHeight="1" spans="1:19" x14ac:dyDescent="0.25">
      <c r="A73" s="20" t="s">
        <v>243</v>
      </c>
      <c r="B73" s="20" t="s">
        <v>249</v>
      </c>
      <c r="C73" s="6" t="s">
        <v>778</v>
      </c>
      <c r="D73" s="6" t="s">
        <v>784</v>
      </c>
      <c r="E73" s="20">
        <v>7.5</v>
      </c>
      <c r="F73" s="20"/>
      <c r="G73" s="20" t="s">
        <v>735</v>
      </c>
      <c r="H73" s="27">
        <v>2955</v>
      </c>
      <c r="I73" s="20" t="s">
        <v>668</v>
      </c>
      <c r="J73" s="6"/>
      <c r="K73" s="6" t="s">
        <v>780</v>
      </c>
      <c r="L73" s="6" t="s">
        <v>252</v>
      </c>
      <c r="M73" s="6" t="s">
        <v>253</v>
      </c>
      <c r="N73" s="6" t="s">
        <v>251</v>
      </c>
      <c r="O73" s="20" t="s">
        <v>781</v>
      </c>
      <c r="P73" s="20" t="s">
        <v>236</v>
      </c>
      <c r="Q73" s="22" t="s">
        <v>255</v>
      </c>
      <c r="R73" s="6" t="s">
        <v>782</v>
      </c>
      <c r="S73" s="6" t="s">
        <v>783</v>
      </c>
    </row>
    <row r="74" ht="45" customHeight="1" spans="1:19" x14ac:dyDescent="0.25">
      <c r="A74" s="20" t="s">
        <v>243</v>
      </c>
      <c r="B74" s="20" t="s">
        <v>256</v>
      </c>
      <c r="C74" s="6"/>
      <c r="D74" s="6"/>
      <c r="E74" s="20"/>
      <c r="F74" s="20"/>
      <c r="G74" s="20" t="s">
        <v>463</v>
      </c>
      <c r="H74" s="27"/>
      <c r="I74" s="20"/>
      <c r="J74" s="6"/>
      <c r="K74" s="6"/>
      <c r="L74" s="6"/>
      <c r="M74" s="6" t="s">
        <v>257</v>
      </c>
      <c r="N74" s="6"/>
      <c r="O74" s="20" t="s">
        <v>787</v>
      </c>
      <c r="P74" s="20" t="s">
        <v>297</v>
      </c>
      <c r="Q74" s="22" t="s">
        <v>258</v>
      </c>
      <c r="R74" s="6" t="s">
        <v>788</v>
      </c>
      <c r="S74" s="6"/>
    </row>
    <row r="75" ht="45" customHeight="1" spans="1:19" x14ac:dyDescent="0.25">
      <c r="A75" s="20" t="s">
        <v>243</v>
      </c>
      <c r="B75" s="20" t="s">
        <v>259</v>
      </c>
      <c r="C75" s="6"/>
      <c r="D75" s="6"/>
      <c r="E75" s="20"/>
      <c r="F75" s="20"/>
      <c r="G75" s="20" t="s">
        <v>463</v>
      </c>
      <c r="H75" s="27"/>
      <c r="I75" s="20"/>
      <c r="J75" s="6"/>
      <c r="K75" s="6"/>
      <c r="L75" s="6"/>
      <c r="M75" s="6" t="s">
        <v>261</v>
      </c>
      <c r="N75" s="6" t="s">
        <v>260</v>
      </c>
      <c r="O75" s="20" t="s">
        <v>789</v>
      </c>
      <c r="P75" s="20" t="s">
        <v>297</v>
      </c>
      <c r="Q75" s="22" t="s">
        <v>263</v>
      </c>
      <c r="R75" s="6" t="s">
        <v>790</v>
      </c>
      <c r="S75" s="6"/>
    </row>
    <row r="76" ht="45" customHeight="1" spans="1:19" x14ac:dyDescent="0.25">
      <c r="A76" s="20" t="s">
        <v>243</v>
      </c>
      <c r="B76" s="20" t="s">
        <v>264</v>
      </c>
      <c r="C76" s="6"/>
      <c r="D76" s="6"/>
      <c r="E76" s="20"/>
      <c r="F76" s="20"/>
      <c r="G76" s="20" t="s">
        <v>463</v>
      </c>
      <c r="H76" s="27"/>
      <c r="I76" s="20"/>
      <c r="J76" s="6"/>
      <c r="K76" s="6"/>
      <c r="L76" s="6"/>
      <c r="M76" s="6" t="s">
        <v>265</v>
      </c>
      <c r="N76" s="6"/>
      <c r="O76" s="20" t="s">
        <v>791</v>
      </c>
      <c r="P76" s="20" t="s">
        <v>297</v>
      </c>
      <c r="Q76" s="22" t="s">
        <v>267</v>
      </c>
      <c r="R76" s="6" t="s">
        <v>792</v>
      </c>
      <c r="S76" s="6"/>
    </row>
    <row r="77" ht="45" customHeight="1" spans="1:19" x14ac:dyDescent="0.25">
      <c r="A77" s="20" t="s">
        <v>243</v>
      </c>
      <c r="B77" s="20" t="s">
        <v>268</v>
      </c>
      <c r="C77" s="6" t="s">
        <v>793</v>
      </c>
      <c r="D77" s="6" t="s">
        <v>794</v>
      </c>
      <c r="E77" s="20">
        <v>7</v>
      </c>
      <c r="F77" s="20">
        <v>12</v>
      </c>
      <c r="G77" s="20" t="s">
        <v>667</v>
      </c>
      <c r="H77" s="27">
        <v>100</v>
      </c>
      <c r="I77" s="20" t="s">
        <v>668</v>
      </c>
      <c r="J77" s="6"/>
      <c r="K77" s="6" t="s">
        <v>795</v>
      </c>
      <c r="L77" s="6" t="s">
        <v>272</v>
      </c>
      <c r="M77" s="6" t="s">
        <v>273</v>
      </c>
      <c r="N77" s="6" t="s">
        <v>271</v>
      </c>
      <c r="O77" s="20" t="s">
        <v>796</v>
      </c>
      <c r="P77" s="20" t="s">
        <v>269</v>
      </c>
      <c r="Q77" s="22" t="s">
        <v>275</v>
      </c>
      <c r="R77" s="6" t="s">
        <v>797</v>
      </c>
      <c r="S77" s="6" t="s">
        <v>798</v>
      </c>
    </row>
    <row r="78" ht="45" customHeight="1" spans="1:19" x14ac:dyDescent="0.25">
      <c r="A78" s="20" t="s">
        <v>243</v>
      </c>
      <c r="B78" s="20" t="s">
        <v>268</v>
      </c>
      <c r="C78" s="6" t="s">
        <v>793</v>
      </c>
      <c r="D78" s="6" t="s">
        <v>794</v>
      </c>
      <c r="E78" s="20">
        <v>7</v>
      </c>
      <c r="F78" s="20">
        <v>12</v>
      </c>
      <c r="G78" s="20" t="s">
        <v>674</v>
      </c>
      <c r="H78" s="27">
        <v>1000</v>
      </c>
      <c r="I78" s="20" t="s">
        <v>668</v>
      </c>
      <c r="J78" s="6"/>
      <c r="K78" s="6" t="s">
        <v>795</v>
      </c>
      <c r="L78" s="6" t="s">
        <v>272</v>
      </c>
      <c r="M78" s="6" t="s">
        <v>273</v>
      </c>
      <c r="N78" s="6" t="s">
        <v>271</v>
      </c>
      <c r="O78" s="20" t="s">
        <v>796</v>
      </c>
      <c r="P78" s="20" t="s">
        <v>269</v>
      </c>
      <c r="Q78" s="22" t="s">
        <v>275</v>
      </c>
      <c r="R78" s="6" t="s">
        <v>797</v>
      </c>
      <c r="S78" s="6" t="s">
        <v>798</v>
      </c>
    </row>
    <row r="79" ht="45" customHeight="1" spans="1:19" x14ac:dyDescent="0.25">
      <c r="A79" s="20" t="s">
        <v>243</v>
      </c>
      <c r="B79" s="20" t="s">
        <v>268</v>
      </c>
      <c r="C79" s="6" t="s">
        <v>793</v>
      </c>
      <c r="D79" s="6" t="s">
        <v>794</v>
      </c>
      <c r="E79" s="20">
        <v>7</v>
      </c>
      <c r="F79" s="20">
        <v>12</v>
      </c>
      <c r="G79" s="20" t="s">
        <v>735</v>
      </c>
      <c r="H79" s="27">
        <v>4000</v>
      </c>
      <c r="I79" s="20" t="s">
        <v>668</v>
      </c>
      <c r="J79" s="6"/>
      <c r="K79" s="6" t="s">
        <v>795</v>
      </c>
      <c r="L79" s="6" t="s">
        <v>272</v>
      </c>
      <c r="M79" s="6" t="s">
        <v>273</v>
      </c>
      <c r="N79" s="6" t="s">
        <v>271</v>
      </c>
      <c r="O79" s="20" t="s">
        <v>796</v>
      </c>
      <c r="P79" s="20" t="s">
        <v>269</v>
      </c>
      <c r="Q79" s="22" t="s">
        <v>275</v>
      </c>
      <c r="R79" s="6" t="s">
        <v>797</v>
      </c>
      <c r="S79" s="6" t="s">
        <v>798</v>
      </c>
    </row>
    <row r="80" ht="45" customHeight="1" spans="1:19" x14ac:dyDescent="0.25">
      <c r="A80" s="20" t="s">
        <v>243</v>
      </c>
      <c r="B80" s="20" t="s">
        <v>268</v>
      </c>
      <c r="C80" s="6" t="s">
        <v>793</v>
      </c>
      <c r="D80" s="6" t="s">
        <v>799</v>
      </c>
      <c r="E80" s="20">
        <v>12</v>
      </c>
      <c r="F80" s="20">
        <v>30</v>
      </c>
      <c r="G80" s="20" t="s">
        <v>667</v>
      </c>
      <c r="H80" s="27">
        <v>200</v>
      </c>
      <c r="I80" s="20" t="s">
        <v>668</v>
      </c>
      <c r="J80" s="6"/>
      <c r="K80" s="6" t="s">
        <v>795</v>
      </c>
      <c r="L80" s="6" t="s">
        <v>272</v>
      </c>
      <c r="M80" s="6" t="s">
        <v>273</v>
      </c>
      <c r="N80" s="6" t="s">
        <v>271</v>
      </c>
      <c r="O80" s="20" t="s">
        <v>796</v>
      </c>
      <c r="P80" s="20" t="s">
        <v>269</v>
      </c>
      <c r="Q80" s="22" t="s">
        <v>275</v>
      </c>
      <c r="R80" s="6" t="s">
        <v>797</v>
      </c>
      <c r="S80" s="6" t="s">
        <v>798</v>
      </c>
    </row>
    <row r="81" ht="45" customHeight="1" spans="1:19" x14ac:dyDescent="0.25">
      <c r="A81" s="20" t="s">
        <v>243</v>
      </c>
      <c r="B81" s="20" t="s">
        <v>268</v>
      </c>
      <c r="C81" s="6" t="s">
        <v>793</v>
      </c>
      <c r="D81" s="6" t="s">
        <v>799</v>
      </c>
      <c r="E81" s="20">
        <v>12</v>
      </c>
      <c r="F81" s="20">
        <v>30</v>
      </c>
      <c r="G81" s="20" t="s">
        <v>674</v>
      </c>
      <c r="H81" s="27">
        <v>1500</v>
      </c>
      <c r="I81" s="20" t="s">
        <v>668</v>
      </c>
      <c r="J81" s="6"/>
      <c r="K81" s="6" t="s">
        <v>795</v>
      </c>
      <c r="L81" s="6" t="s">
        <v>272</v>
      </c>
      <c r="M81" s="6" t="s">
        <v>273</v>
      </c>
      <c r="N81" s="6" t="s">
        <v>271</v>
      </c>
      <c r="O81" s="20" t="s">
        <v>796</v>
      </c>
      <c r="P81" s="20" t="s">
        <v>269</v>
      </c>
      <c r="Q81" s="22" t="s">
        <v>275</v>
      </c>
      <c r="R81" s="6" t="s">
        <v>797</v>
      </c>
      <c r="S81" s="6" t="s">
        <v>798</v>
      </c>
    </row>
    <row r="82" ht="45" customHeight="1" spans="1:19" x14ac:dyDescent="0.25">
      <c r="A82" s="20" t="s">
        <v>243</v>
      </c>
      <c r="B82" s="20" t="s">
        <v>268</v>
      </c>
      <c r="C82" s="6" t="s">
        <v>793</v>
      </c>
      <c r="D82" s="6" t="s">
        <v>799</v>
      </c>
      <c r="E82" s="20">
        <v>12</v>
      </c>
      <c r="F82" s="20">
        <v>30</v>
      </c>
      <c r="G82" s="20" t="s">
        <v>735</v>
      </c>
      <c r="H82" s="27">
        <v>6000</v>
      </c>
      <c r="I82" s="20" t="s">
        <v>668</v>
      </c>
      <c r="J82" s="6"/>
      <c r="K82" s="6" t="s">
        <v>795</v>
      </c>
      <c r="L82" s="6" t="s">
        <v>272</v>
      </c>
      <c r="M82" s="6" t="s">
        <v>273</v>
      </c>
      <c r="N82" s="6" t="s">
        <v>271</v>
      </c>
      <c r="O82" s="20" t="s">
        <v>796</v>
      </c>
      <c r="P82" s="20" t="s">
        <v>269</v>
      </c>
      <c r="Q82" s="22" t="s">
        <v>275</v>
      </c>
      <c r="R82" s="6" t="s">
        <v>797</v>
      </c>
      <c r="S82" s="6" t="s">
        <v>798</v>
      </c>
    </row>
    <row r="83" ht="45" customHeight="1" spans="1:19" x14ac:dyDescent="0.25">
      <c r="A83" s="20" t="s">
        <v>243</v>
      </c>
      <c r="B83" s="20" t="s">
        <v>268</v>
      </c>
      <c r="C83" s="6" t="s">
        <v>793</v>
      </c>
      <c r="D83" s="6" t="s">
        <v>800</v>
      </c>
      <c r="E83" s="20">
        <v>30</v>
      </c>
      <c r="F83" s="20">
        <v>40</v>
      </c>
      <c r="G83" s="20" t="s">
        <v>667</v>
      </c>
      <c r="H83" s="27">
        <v>300</v>
      </c>
      <c r="I83" s="20" t="s">
        <v>668</v>
      </c>
      <c r="J83" s="6"/>
      <c r="K83" s="6" t="s">
        <v>795</v>
      </c>
      <c r="L83" s="6" t="s">
        <v>272</v>
      </c>
      <c r="M83" s="6" t="s">
        <v>273</v>
      </c>
      <c r="N83" s="6" t="s">
        <v>271</v>
      </c>
      <c r="O83" s="20" t="s">
        <v>796</v>
      </c>
      <c r="P83" s="20" t="s">
        <v>269</v>
      </c>
      <c r="Q83" s="22" t="s">
        <v>275</v>
      </c>
      <c r="R83" s="6" t="s">
        <v>797</v>
      </c>
      <c r="S83" s="6" t="s">
        <v>798</v>
      </c>
    </row>
    <row r="84" ht="45" customHeight="1" spans="1:19" x14ac:dyDescent="0.25">
      <c r="A84" s="20" t="s">
        <v>243</v>
      </c>
      <c r="B84" s="20" t="s">
        <v>268</v>
      </c>
      <c r="C84" s="6" t="s">
        <v>793</v>
      </c>
      <c r="D84" s="6" t="s">
        <v>800</v>
      </c>
      <c r="E84" s="20">
        <v>30</v>
      </c>
      <c r="F84" s="20">
        <v>40</v>
      </c>
      <c r="G84" s="20" t="s">
        <v>674</v>
      </c>
      <c r="H84" s="27">
        <v>3000</v>
      </c>
      <c r="I84" s="20" t="s">
        <v>668</v>
      </c>
      <c r="J84" s="6"/>
      <c r="K84" s="6" t="s">
        <v>795</v>
      </c>
      <c r="L84" s="6" t="s">
        <v>272</v>
      </c>
      <c r="M84" s="6" t="s">
        <v>273</v>
      </c>
      <c r="N84" s="6" t="s">
        <v>271</v>
      </c>
      <c r="O84" s="20" t="s">
        <v>796</v>
      </c>
      <c r="P84" s="20" t="s">
        <v>269</v>
      </c>
      <c r="Q84" s="22" t="s">
        <v>275</v>
      </c>
      <c r="R84" s="6" t="s">
        <v>797</v>
      </c>
      <c r="S84" s="6" t="s">
        <v>798</v>
      </c>
    </row>
    <row r="85" ht="45" customHeight="1" spans="1:19" x14ac:dyDescent="0.25">
      <c r="A85" s="20" t="s">
        <v>243</v>
      </c>
      <c r="B85" s="20" t="s">
        <v>268</v>
      </c>
      <c r="C85" s="6" t="s">
        <v>793</v>
      </c>
      <c r="D85" s="6" t="s">
        <v>800</v>
      </c>
      <c r="E85" s="20">
        <v>30</v>
      </c>
      <c r="F85" s="20">
        <v>40</v>
      </c>
      <c r="G85" s="20" t="s">
        <v>735</v>
      </c>
      <c r="H85" s="27">
        <v>10000</v>
      </c>
      <c r="I85" s="20" t="s">
        <v>668</v>
      </c>
      <c r="J85" s="6"/>
      <c r="K85" s="6" t="s">
        <v>795</v>
      </c>
      <c r="L85" s="6" t="s">
        <v>272</v>
      </c>
      <c r="M85" s="6" t="s">
        <v>273</v>
      </c>
      <c r="N85" s="6" t="s">
        <v>271</v>
      </c>
      <c r="O85" s="20" t="s">
        <v>796</v>
      </c>
      <c r="P85" s="20" t="s">
        <v>269</v>
      </c>
      <c r="Q85" s="22" t="s">
        <v>275</v>
      </c>
      <c r="R85" s="6" t="s">
        <v>797</v>
      </c>
      <c r="S85" s="6" t="s">
        <v>798</v>
      </c>
    </row>
    <row r="86" ht="45" customHeight="1" spans="1:19" x14ac:dyDescent="0.25">
      <c r="A86" s="20" t="s">
        <v>243</v>
      </c>
      <c r="B86" s="20" t="s">
        <v>268</v>
      </c>
      <c r="C86" s="6" t="s">
        <v>793</v>
      </c>
      <c r="D86" s="6" t="s">
        <v>688</v>
      </c>
      <c r="E86" s="20">
        <v>40</v>
      </c>
      <c r="F86" s="20"/>
      <c r="G86" s="20" t="s">
        <v>667</v>
      </c>
      <c r="H86" s="27">
        <v>800</v>
      </c>
      <c r="I86" s="20" t="s">
        <v>668</v>
      </c>
      <c r="J86" s="6"/>
      <c r="K86" s="6" t="s">
        <v>795</v>
      </c>
      <c r="L86" s="6" t="s">
        <v>272</v>
      </c>
      <c r="M86" s="6" t="s">
        <v>273</v>
      </c>
      <c r="N86" s="6" t="s">
        <v>271</v>
      </c>
      <c r="O86" s="20" t="s">
        <v>796</v>
      </c>
      <c r="P86" s="20" t="s">
        <v>269</v>
      </c>
      <c r="Q86" s="22" t="s">
        <v>275</v>
      </c>
      <c r="R86" s="6" t="s">
        <v>801</v>
      </c>
      <c r="S86" s="6" t="s">
        <v>798</v>
      </c>
    </row>
    <row r="87" ht="45" customHeight="1" spans="1:19" x14ac:dyDescent="0.25">
      <c r="A87" s="20" t="s">
        <v>243</v>
      </c>
      <c r="B87" s="20" t="s">
        <v>276</v>
      </c>
      <c r="C87" s="6" t="s">
        <v>802</v>
      </c>
      <c r="D87" s="6" t="s">
        <v>803</v>
      </c>
      <c r="E87" s="20">
        <v>3.5</v>
      </c>
      <c r="F87" s="20">
        <v>5</v>
      </c>
      <c r="G87" s="20" t="s">
        <v>667</v>
      </c>
      <c r="H87" s="27">
        <v>31</v>
      </c>
      <c r="I87" s="20" t="s">
        <v>668</v>
      </c>
      <c r="J87" s="6"/>
      <c r="K87" s="6" t="s">
        <v>804</v>
      </c>
      <c r="L87" s="6" t="s">
        <v>279</v>
      </c>
      <c r="M87" s="6" t="s">
        <v>280</v>
      </c>
      <c r="N87" s="6" t="s">
        <v>278</v>
      </c>
      <c r="O87" s="20" t="s">
        <v>805</v>
      </c>
      <c r="P87" s="20" t="s">
        <v>236</v>
      </c>
      <c r="Q87" s="22" t="s">
        <v>282</v>
      </c>
      <c r="R87" s="6" t="s">
        <v>806</v>
      </c>
      <c r="S87" s="6" t="s">
        <v>807</v>
      </c>
    </row>
    <row r="88" ht="45" customHeight="1" spans="1:19" x14ac:dyDescent="0.25">
      <c r="A88" s="20" t="s">
        <v>243</v>
      </c>
      <c r="B88" s="20" t="s">
        <v>276</v>
      </c>
      <c r="C88" s="6" t="s">
        <v>802</v>
      </c>
      <c r="D88" s="6" t="s">
        <v>808</v>
      </c>
      <c r="E88" s="20">
        <v>5</v>
      </c>
      <c r="F88" s="20">
        <v>7.5</v>
      </c>
      <c r="G88" s="20" t="s">
        <v>667</v>
      </c>
      <c r="H88" s="27">
        <v>59</v>
      </c>
      <c r="I88" s="20" t="s">
        <v>668</v>
      </c>
      <c r="J88" s="6"/>
      <c r="K88" s="6" t="s">
        <v>804</v>
      </c>
      <c r="L88" s="6" t="s">
        <v>279</v>
      </c>
      <c r="M88" s="6" t="s">
        <v>280</v>
      </c>
      <c r="N88" s="6" t="s">
        <v>278</v>
      </c>
      <c r="O88" s="20" t="s">
        <v>805</v>
      </c>
      <c r="P88" s="20" t="s">
        <v>236</v>
      </c>
      <c r="Q88" s="22" t="s">
        <v>282</v>
      </c>
      <c r="R88" s="6" t="s">
        <v>806</v>
      </c>
      <c r="S88" s="6" t="s">
        <v>807</v>
      </c>
    </row>
    <row r="89" ht="45" customHeight="1" spans="1:19" x14ac:dyDescent="0.25">
      <c r="A89" s="20" t="s">
        <v>243</v>
      </c>
      <c r="B89" s="20" t="s">
        <v>276</v>
      </c>
      <c r="C89" s="6" t="s">
        <v>802</v>
      </c>
      <c r="D89" s="6" t="s">
        <v>809</v>
      </c>
      <c r="E89" s="20">
        <v>7.5</v>
      </c>
      <c r="F89" s="20">
        <v>12.5</v>
      </c>
      <c r="G89" s="20" t="s">
        <v>667</v>
      </c>
      <c r="H89" s="27">
        <v>118</v>
      </c>
      <c r="I89" s="20" t="s">
        <v>668</v>
      </c>
      <c r="J89" s="6"/>
      <c r="K89" s="6" t="s">
        <v>804</v>
      </c>
      <c r="L89" s="6" t="s">
        <v>279</v>
      </c>
      <c r="M89" s="6" t="s">
        <v>280</v>
      </c>
      <c r="N89" s="6" t="s">
        <v>278</v>
      </c>
      <c r="O89" s="20" t="s">
        <v>805</v>
      </c>
      <c r="P89" s="20" t="s">
        <v>236</v>
      </c>
      <c r="Q89" s="22" t="s">
        <v>282</v>
      </c>
      <c r="R89" s="6" t="s">
        <v>806</v>
      </c>
      <c r="S89" s="6" t="s">
        <v>807</v>
      </c>
    </row>
    <row r="90" ht="45" customHeight="1" spans="1:19" x14ac:dyDescent="0.25">
      <c r="A90" s="20" t="s">
        <v>243</v>
      </c>
      <c r="B90" s="20" t="s">
        <v>276</v>
      </c>
      <c r="C90" s="6" t="s">
        <v>802</v>
      </c>
      <c r="D90" s="6" t="s">
        <v>810</v>
      </c>
      <c r="E90" s="20">
        <v>12.5</v>
      </c>
      <c r="F90" s="20">
        <v>16</v>
      </c>
      <c r="G90" s="20" t="s">
        <v>667</v>
      </c>
      <c r="H90" s="27">
        <v>238</v>
      </c>
      <c r="I90" s="20" t="s">
        <v>668</v>
      </c>
      <c r="J90" s="6"/>
      <c r="K90" s="6" t="s">
        <v>804</v>
      </c>
      <c r="L90" s="6" t="s">
        <v>279</v>
      </c>
      <c r="M90" s="6" t="s">
        <v>280</v>
      </c>
      <c r="N90" s="6" t="s">
        <v>278</v>
      </c>
      <c r="O90" s="20" t="s">
        <v>805</v>
      </c>
      <c r="P90" s="20" t="s">
        <v>236</v>
      </c>
      <c r="Q90" s="22" t="s">
        <v>282</v>
      </c>
      <c r="R90" s="6" t="s">
        <v>806</v>
      </c>
      <c r="S90" s="6" t="s">
        <v>807</v>
      </c>
    </row>
    <row r="91" ht="45" customHeight="1" spans="1:19" x14ac:dyDescent="0.25">
      <c r="A91" s="20" t="s">
        <v>243</v>
      </c>
      <c r="B91" s="20" t="s">
        <v>276</v>
      </c>
      <c r="C91" s="6" t="s">
        <v>802</v>
      </c>
      <c r="D91" s="6" t="s">
        <v>811</v>
      </c>
      <c r="E91" s="20">
        <v>16</v>
      </c>
      <c r="F91" s="20">
        <v>22</v>
      </c>
      <c r="G91" s="20" t="s">
        <v>667</v>
      </c>
      <c r="H91" s="27">
        <v>356</v>
      </c>
      <c r="I91" s="20" t="s">
        <v>668</v>
      </c>
      <c r="J91" s="6"/>
      <c r="K91" s="6" t="s">
        <v>804</v>
      </c>
      <c r="L91" s="6" t="s">
        <v>279</v>
      </c>
      <c r="M91" s="6" t="s">
        <v>280</v>
      </c>
      <c r="N91" s="6" t="s">
        <v>278</v>
      </c>
      <c r="O91" s="20" t="s">
        <v>805</v>
      </c>
      <c r="P91" s="20" t="s">
        <v>236</v>
      </c>
      <c r="Q91" s="22" t="s">
        <v>282</v>
      </c>
      <c r="R91" s="6" t="s">
        <v>806</v>
      </c>
      <c r="S91" s="6" t="s">
        <v>807</v>
      </c>
    </row>
    <row r="92" ht="45" customHeight="1" spans="1:19" x14ac:dyDescent="0.25">
      <c r="A92" s="20" t="s">
        <v>243</v>
      </c>
      <c r="B92" s="20" t="s">
        <v>276</v>
      </c>
      <c r="C92" s="6" t="s">
        <v>802</v>
      </c>
      <c r="D92" s="6" t="s">
        <v>812</v>
      </c>
      <c r="E92" s="20">
        <v>22</v>
      </c>
      <c r="F92" s="20">
        <v>40</v>
      </c>
      <c r="G92" s="20" t="s">
        <v>667</v>
      </c>
      <c r="H92" s="27">
        <v>474</v>
      </c>
      <c r="I92" s="20" t="s">
        <v>668</v>
      </c>
      <c r="J92" s="6"/>
      <c r="K92" s="6" t="s">
        <v>804</v>
      </c>
      <c r="L92" s="6" t="s">
        <v>279</v>
      </c>
      <c r="M92" s="6" t="s">
        <v>280</v>
      </c>
      <c r="N92" s="6" t="s">
        <v>278</v>
      </c>
      <c r="O92" s="20" t="s">
        <v>805</v>
      </c>
      <c r="P92" s="20" t="s">
        <v>236</v>
      </c>
      <c r="Q92" s="22" t="s">
        <v>282</v>
      </c>
      <c r="R92" s="6" t="s">
        <v>806</v>
      </c>
      <c r="S92" s="6" t="s">
        <v>807</v>
      </c>
    </row>
    <row r="93" ht="45" customHeight="1" spans="1:19" x14ac:dyDescent="0.25">
      <c r="A93" s="20" t="s">
        <v>243</v>
      </c>
      <c r="B93" s="20" t="s">
        <v>276</v>
      </c>
      <c r="C93" s="6" t="s">
        <v>802</v>
      </c>
      <c r="D93" s="6" t="s">
        <v>813</v>
      </c>
      <c r="E93" s="20">
        <v>40</v>
      </c>
      <c r="F93" s="20"/>
      <c r="G93" s="20" t="s">
        <v>667</v>
      </c>
      <c r="H93" s="27">
        <v>595</v>
      </c>
      <c r="I93" s="20" t="s">
        <v>668</v>
      </c>
      <c r="J93" s="6"/>
      <c r="K93" s="6" t="s">
        <v>804</v>
      </c>
      <c r="L93" s="6" t="s">
        <v>279</v>
      </c>
      <c r="M93" s="6" t="s">
        <v>280</v>
      </c>
      <c r="N93" s="6" t="s">
        <v>278</v>
      </c>
      <c r="O93" s="20" t="s">
        <v>805</v>
      </c>
      <c r="P93" s="20" t="s">
        <v>236</v>
      </c>
      <c r="Q93" s="22" t="s">
        <v>282</v>
      </c>
      <c r="R93" s="6" t="s">
        <v>806</v>
      </c>
      <c r="S93" s="6" t="s">
        <v>807</v>
      </c>
    </row>
    <row r="94" ht="45" customHeight="1" spans="1:19" x14ac:dyDescent="0.25">
      <c r="A94" s="20" t="s">
        <v>243</v>
      </c>
      <c r="B94" s="20" t="s">
        <v>276</v>
      </c>
      <c r="C94" s="6" t="s">
        <v>802</v>
      </c>
      <c r="D94" s="6" t="s">
        <v>803</v>
      </c>
      <c r="E94" s="20">
        <v>3.5</v>
      </c>
      <c r="F94" s="20">
        <v>5</v>
      </c>
      <c r="G94" s="20" t="s">
        <v>674</v>
      </c>
      <c r="H94" s="27">
        <v>148</v>
      </c>
      <c r="I94" s="20" t="s">
        <v>668</v>
      </c>
      <c r="J94" s="6"/>
      <c r="K94" s="6" t="s">
        <v>804</v>
      </c>
      <c r="L94" s="6" t="s">
        <v>279</v>
      </c>
      <c r="M94" s="6" t="s">
        <v>280</v>
      </c>
      <c r="N94" s="6" t="s">
        <v>278</v>
      </c>
      <c r="O94" s="20" t="s">
        <v>805</v>
      </c>
      <c r="P94" s="20" t="s">
        <v>236</v>
      </c>
      <c r="Q94" s="22" t="s">
        <v>282</v>
      </c>
      <c r="R94" s="6" t="s">
        <v>806</v>
      </c>
      <c r="S94" s="6" t="s">
        <v>807</v>
      </c>
    </row>
    <row r="95" ht="45" customHeight="1" spans="1:19" x14ac:dyDescent="0.25">
      <c r="A95" s="20" t="s">
        <v>243</v>
      </c>
      <c r="B95" s="20" t="s">
        <v>276</v>
      </c>
      <c r="C95" s="6" t="s">
        <v>802</v>
      </c>
      <c r="D95" s="6" t="s">
        <v>808</v>
      </c>
      <c r="E95" s="20">
        <v>5</v>
      </c>
      <c r="F95" s="20">
        <v>7.5</v>
      </c>
      <c r="G95" s="20" t="s">
        <v>674</v>
      </c>
      <c r="H95" s="27">
        <v>595</v>
      </c>
      <c r="I95" s="20" t="s">
        <v>668</v>
      </c>
      <c r="J95" s="6"/>
      <c r="K95" s="6" t="s">
        <v>804</v>
      </c>
      <c r="L95" s="6" t="s">
        <v>279</v>
      </c>
      <c r="M95" s="6" t="s">
        <v>280</v>
      </c>
      <c r="N95" s="6" t="s">
        <v>278</v>
      </c>
      <c r="O95" s="20" t="s">
        <v>805</v>
      </c>
      <c r="P95" s="20" t="s">
        <v>236</v>
      </c>
      <c r="Q95" s="22" t="s">
        <v>282</v>
      </c>
      <c r="R95" s="6" t="s">
        <v>806</v>
      </c>
      <c r="S95" s="6" t="s">
        <v>807</v>
      </c>
    </row>
    <row r="96" ht="45" customHeight="1" spans="1:19" x14ac:dyDescent="0.25">
      <c r="A96" s="20" t="s">
        <v>243</v>
      </c>
      <c r="B96" s="20" t="s">
        <v>276</v>
      </c>
      <c r="C96" s="6" t="s">
        <v>802</v>
      </c>
      <c r="D96" s="6" t="s">
        <v>809</v>
      </c>
      <c r="E96" s="20">
        <v>7.5</v>
      </c>
      <c r="F96" s="20">
        <v>12.5</v>
      </c>
      <c r="G96" s="20" t="s">
        <v>674</v>
      </c>
      <c r="H96" s="27">
        <v>1188</v>
      </c>
      <c r="I96" s="20" t="s">
        <v>668</v>
      </c>
      <c r="J96" s="6"/>
      <c r="K96" s="6" t="s">
        <v>804</v>
      </c>
      <c r="L96" s="6" t="s">
        <v>279</v>
      </c>
      <c r="M96" s="6" t="s">
        <v>280</v>
      </c>
      <c r="N96" s="6" t="s">
        <v>278</v>
      </c>
      <c r="O96" s="20" t="s">
        <v>805</v>
      </c>
      <c r="P96" s="20" t="s">
        <v>236</v>
      </c>
      <c r="Q96" s="22" t="s">
        <v>282</v>
      </c>
      <c r="R96" s="6" t="s">
        <v>806</v>
      </c>
      <c r="S96" s="6" t="s">
        <v>807</v>
      </c>
    </row>
    <row r="97" ht="45" customHeight="1" spans="1:19" x14ac:dyDescent="0.25">
      <c r="A97" s="20" t="s">
        <v>243</v>
      </c>
      <c r="B97" s="20" t="s">
        <v>276</v>
      </c>
      <c r="C97" s="6" t="s">
        <v>802</v>
      </c>
      <c r="D97" s="6" t="s">
        <v>810</v>
      </c>
      <c r="E97" s="20">
        <v>12.5</v>
      </c>
      <c r="F97" s="20">
        <v>16</v>
      </c>
      <c r="G97" s="20" t="s">
        <v>674</v>
      </c>
      <c r="H97" s="27">
        <v>1188</v>
      </c>
      <c r="I97" s="20" t="s">
        <v>668</v>
      </c>
      <c r="J97" s="6"/>
      <c r="K97" s="6" t="s">
        <v>804</v>
      </c>
      <c r="L97" s="6" t="s">
        <v>279</v>
      </c>
      <c r="M97" s="6" t="s">
        <v>280</v>
      </c>
      <c r="N97" s="6" t="s">
        <v>278</v>
      </c>
      <c r="O97" s="20" t="s">
        <v>805</v>
      </c>
      <c r="P97" s="20" t="s">
        <v>236</v>
      </c>
      <c r="Q97" s="22" t="s">
        <v>282</v>
      </c>
      <c r="R97" s="6" t="s">
        <v>806</v>
      </c>
      <c r="S97" s="6" t="s">
        <v>807</v>
      </c>
    </row>
    <row r="98" ht="45" customHeight="1" spans="1:19" x14ac:dyDescent="0.25">
      <c r="A98" s="20" t="s">
        <v>243</v>
      </c>
      <c r="B98" s="20" t="s">
        <v>276</v>
      </c>
      <c r="C98" s="6" t="s">
        <v>802</v>
      </c>
      <c r="D98" s="6" t="s">
        <v>811</v>
      </c>
      <c r="E98" s="20">
        <v>16</v>
      </c>
      <c r="F98" s="20">
        <v>22</v>
      </c>
      <c r="G98" s="20" t="s">
        <v>674</v>
      </c>
      <c r="H98" s="27">
        <v>1781</v>
      </c>
      <c r="I98" s="20" t="s">
        <v>668</v>
      </c>
      <c r="J98" s="6"/>
      <c r="K98" s="6" t="s">
        <v>804</v>
      </c>
      <c r="L98" s="6" t="s">
        <v>279</v>
      </c>
      <c r="M98" s="6" t="s">
        <v>280</v>
      </c>
      <c r="N98" s="6" t="s">
        <v>278</v>
      </c>
      <c r="O98" s="20" t="s">
        <v>805</v>
      </c>
      <c r="P98" s="20" t="s">
        <v>236</v>
      </c>
      <c r="Q98" s="22" t="s">
        <v>282</v>
      </c>
      <c r="R98" s="6" t="s">
        <v>806</v>
      </c>
      <c r="S98" s="6" t="s">
        <v>807</v>
      </c>
    </row>
    <row r="99" ht="45" customHeight="1" spans="1:19" x14ac:dyDescent="0.25">
      <c r="A99" s="20" t="s">
        <v>243</v>
      </c>
      <c r="B99" s="20" t="s">
        <v>276</v>
      </c>
      <c r="C99" s="6" t="s">
        <v>802</v>
      </c>
      <c r="D99" s="6" t="s">
        <v>812</v>
      </c>
      <c r="E99" s="20">
        <v>22</v>
      </c>
      <c r="F99" s="20">
        <v>40</v>
      </c>
      <c r="G99" s="20" t="s">
        <v>674</v>
      </c>
      <c r="H99" s="27">
        <v>2376</v>
      </c>
      <c r="I99" s="20" t="s">
        <v>668</v>
      </c>
      <c r="J99" s="6"/>
      <c r="K99" s="6" t="s">
        <v>804</v>
      </c>
      <c r="L99" s="6" t="s">
        <v>279</v>
      </c>
      <c r="M99" s="6" t="s">
        <v>280</v>
      </c>
      <c r="N99" s="6" t="s">
        <v>278</v>
      </c>
      <c r="O99" s="20" t="s">
        <v>805</v>
      </c>
      <c r="P99" s="20" t="s">
        <v>236</v>
      </c>
      <c r="Q99" s="22" t="s">
        <v>282</v>
      </c>
      <c r="R99" s="6" t="s">
        <v>806</v>
      </c>
      <c r="S99" s="6" t="s">
        <v>807</v>
      </c>
    </row>
    <row r="100" ht="45" customHeight="1" spans="1:19" x14ac:dyDescent="0.25">
      <c r="A100" s="20" t="s">
        <v>243</v>
      </c>
      <c r="B100" s="20" t="s">
        <v>276</v>
      </c>
      <c r="C100" s="6" t="s">
        <v>802</v>
      </c>
      <c r="D100" s="6" t="s">
        <v>813</v>
      </c>
      <c r="E100" s="20">
        <v>40</v>
      </c>
      <c r="F100" s="20"/>
      <c r="G100" s="20" t="s">
        <v>674</v>
      </c>
      <c r="H100" s="27">
        <v>2971</v>
      </c>
      <c r="I100" s="20" t="s">
        <v>668</v>
      </c>
      <c r="J100" s="6"/>
      <c r="K100" s="6" t="s">
        <v>804</v>
      </c>
      <c r="L100" s="6" t="s">
        <v>279</v>
      </c>
      <c r="M100" s="6" t="s">
        <v>280</v>
      </c>
      <c r="N100" s="6" t="s">
        <v>278</v>
      </c>
      <c r="O100" s="20" t="s">
        <v>805</v>
      </c>
      <c r="P100" s="20" t="s">
        <v>236</v>
      </c>
      <c r="Q100" s="22" t="s">
        <v>282</v>
      </c>
      <c r="R100" s="6" t="s">
        <v>806</v>
      </c>
      <c r="S100" s="6" t="s">
        <v>807</v>
      </c>
    </row>
    <row r="101" ht="45" customHeight="1" spans="1:19" x14ac:dyDescent="0.25">
      <c r="A101" s="20" t="s">
        <v>243</v>
      </c>
      <c r="B101" s="20" t="s">
        <v>276</v>
      </c>
      <c r="C101" s="6" t="s">
        <v>802</v>
      </c>
      <c r="D101" s="6" t="s">
        <v>803</v>
      </c>
      <c r="E101" s="20">
        <v>3.5</v>
      </c>
      <c r="F101" s="20">
        <v>5</v>
      </c>
      <c r="G101" s="20" t="s">
        <v>735</v>
      </c>
      <c r="H101" s="27">
        <v>1484</v>
      </c>
      <c r="I101" s="20" t="s">
        <v>668</v>
      </c>
      <c r="J101" s="6"/>
      <c r="K101" s="6" t="s">
        <v>804</v>
      </c>
      <c r="L101" s="6" t="s">
        <v>279</v>
      </c>
      <c r="M101" s="6" t="s">
        <v>280</v>
      </c>
      <c r="N101" s="6" t="s">
        <v>278</v>
      </c>
      <c r="O101" s="20" t="s">
        <v>805</v>
      </c>
      <c r="P101" s="20" t="s">
        <v>236</v>
      </c>
      <c r="Q101" s="22" t="s">
        <v>282</v>
      </c>
      <c r="R101" s="6" t="s">
        <v>806</v>
      </c>
      <c r="S101" s="6" t="s">
        <v>807</v>
      </c>
    </row>
    <row r="102" ht="45" customHeight="1" spans="1:19" x14ac:dyDescent="0.25">
      <c r="A102" s="20" t="s">
        <v>243</v>
      </c>
      <c r="B102" s="20" t="s">
        <v>276</v>
      </c>
      <c r="C102" s="6" t="s">
        <v>802</v>
      </c>
      <c r="D102" s="6" t="s">
        <v>808</v>
      </c>
      <c r="E102" s="20">
        <v>5</v>
      </c>
      <c r="F102" s="20">
        <v>7.5</v>
      </c>
      <c r="G102" s="20" t="s">
        <v>735</v>
      </c>
      <c r="H102" s="27">
        <v>5940</v>
      </c>
      <c r="I102" s="20" t="s">
        <v>668</v>
      </c>
      <c r="J102" s="6"/>
      <c r="K102" s="6" t="s">
        <v>804</v>
      </c>
      <c r="L102" s="6" t="s">
        <v>279</v>
      </c>
      <c r="M102" s="6" t="s">
        <v>280</v>
      </c>
      <c r="N102" s="6" t="s">
        <v>278</v>
      </c>
      <c r="O102" s="20" t="s">
        <v>805</v>
      </c>
      <c r="P102" s="20" t="s">
        <v>236</v>
      </c>
      <c r="Q102" s="22" t="s">
        <v>282</v>
      </c>
      <c r="R102" s="6" t="s">
        <v>806</v>
      </c>
      <c r="S102" s="6" t="s">
        <v>807</v>
      </c>
    </row>
    <row r="103" ht="45" customHeight="1" spans="1:19" x14ac:dyDescent="0.25">
      <c r="A103" s="20" t="s">
        <v>243</v>
      </c>
      <c r="B103" s="20" t="s">
        <v>276</v>
      </c>
      <c r="C103" s="6" t="s">
        <v>802</v>
      </c>
      <c r="D103" s="6" t="s">
        <v>809</v>
      </c>
      <c r="E103" s="20">
        <v>7.5</v>
      </c>
      <c r="F103" s="20">
        <v>12.5</v>
      </c>
      <c r="G103" s="20" t="s">
        <v>735</v>
      </c>
      <c r="H103" s="27">
        <v>11881</v>
      </c>
      <c r="I103" s="20" t="s">
        <v>668</v>
      </c>
      <c r="J103" s="6"/>
      <c r="K103" s="6" t="s">
        <v>804</v>
      </c>
      <c r="L103" s="6" t="s">
        <v>279</v>
      </c>
      <c r="M103" s="6" t="s">
        <v>280</v>
      </c>
      <c r="N103" s="6" t="s">
        <v>278</v>
      </c>
      <c r="O103" s="20" t="s">
        <v>805</v>
      </c>
      <c r="P103" s="20" t="s">
        <v>236</v>
      </c>
      <c r="Q103" s="22" t="s">
        <v>282</v>
      </c>
      <c r="R103" s="6" t="s">
        <v>806</v>
      </c>
      <c r="S103" s="6" t="s">
        <v>807</v>
      </c>
    </row>
    <row r="104" ht="45" customHeight="1" spans="1:19" x14ac:dyDescent="0.25">
      <c r="A104" s="20" t="s">
        <v>243</v>
      </c>
      <c r="B104" s="20" t="s">
        <v>276</v>
      </c>
      <c r="C104" s="6" t="s">
        <v>802</v>
      </c>
      <c r="D104" s="6" t="s">
        <v>810</v>
      </c>
      <c r="E104" s="20">
        <v>12.5</v>
      </c>
      <c r="F104" s="20">
        <v>16</v>
      </c>
      <c r="G104" s="20" t="s">
        <v>735</v>
      </c>
      <c r="H104" s="27">
        <v>11881</v>
      </c>
      <c r="I104" s="20" t="s">
        <v>668</v>
      </c>
      <c r="J104" s="6"/>
      <c r="K104" s="6" t="s">
        <v>804</v>
      </c>
      <c r="L104" s="6" t="s">
        <v>279</v>
      </c>
      <c r="M104" s="6" t="s">
        <v>280</v>
      </c>
      <c r="N104" s="6" t="s">
        <v>278</v>
      </c>
      <c r="O104" s="20" t="s">
        <v>805</v>
      </c>
      <c r="P104" s="20" t="s">
        <v>236</v>
      </c>
      <c r="Q104" s="22" t="s">
        <v>282</v>
      </c>
      <c r="R104" s="6" t="s">
        <v>806</v>
      </c>
      <c r="S104" s="6" t="s">
        <v>807</v>
      </c>
    </row>
    <row r="105" ht="45" customHeight="1" spans="1:19" x14ac:dyDescent="0.25">
      <c r="A105" s="20" t="s">
        <v>243</v>
      </c>
      <c r="B105" s="20" t="s">
        <v>276</v>
      </c>
      <c r="C105" s="6" t="s">
        <v>802</v>
      </c>
      <c r="D105" s="6" t="s">
        <v>811</v>
      </c>
      <c r="E105" s="20">
        <v>16</v>
      </c>
      <c r="F105" s="20">
        <v>22</v>
      </c>
      <c r="G105" s="20" t="s">
        <v>735</v>
      </c>
      <c r="H105" s="27">
        <v>17821</v>
      </c>
      <c r="I105" s="20" t="s">
        <v>668</v>
      </c>
      <c r="J105" s="6"/>
      <c r="K105" s="6" t="s">
        <v>804</v>
      </c>
      <c r="L105" s="6" t="s">
        <v>279</v>
      </c>
      <c r="M105" s="6" t="s">
        <v>280</v>
      </c>
      <c r="N105" s="6" t="s">
        <v>278</v>
      </c>
      <c r="O105" s="20" t="s">
        <v>805</v>
      </c>
      <c r="P105" s="20" t="s">
        <v>236</v>
      </c>
      <c r="Q105" s="22" t="s">
        <v>282</v>
      </c>
      <c r="R105" s="6" t="s">
        <v>806</v>
      </c>
      <c r="S105" s="6" t="s">
        <v>807</v>
      </c>
    </row>
    <row r="106" ht="45" customHeight="1" spans="1:19" x14ac:dyDescent="0.25">
      <c r="A106" s="20" t="s">
        <v>243</v>
      </c>
      <c r="B106" s="20" t="s">
        <v>276</v>
      </c>
      <c r="C106" s="6" t="s">
        <v>802</v>
      </c>
      <c r="D106" s="6" t="s">
        <v>812</v>
      </c>
      <c r="E106" s="20">
        <v>22</v>
      </c>
      <c r="F106" s="20">
        <v>40</v>
      </c>
      <c r="G106" s="20" t="s">
        <v>735</v>
      </c>
      <c r="H106" s="27">
        <v>23760</v>
      </c>
      <c r="I106" s="20" t="s">
        <v>668</v>
      </c>
      <c r="J106" s="6"/>
      <c r="K106" s="6" t="s">
        <v>804</v>
      </c>
      <c r="L106" s="6" t="s">
        <v>279</v>
      </c>
      <c r="M106" s="6" t="s">
        <v>280</v>
      </c>
      <c r="N106" s="6" t="s">
        <v>278</v>
      </c>
      <c r="O106" s="20" t="s">
        <v>805</v>
      </c>
      <c r="P106" s="20" t="s">
        <v>236</v>
      </c>
      <c r="Q106" s="22" t="s">
        <v>282</v>
      </c>
      <c r="R106" s="6" t="s">
        <v>806</v>
      </c>
      <c r="S106" s="6" t="s">
        <v>807</v>
      </c>
    </row>
    <row r="107" ht="45" customHeight="1" spans="1:19" x14ac:dyDescent="0.25">
      <c r="A107" s="20" t="s">
        <v>243</v>
      </c>
      <c r="B107" s="20" t="s">
        <v>276</v>
      </c>
      <c r="C107" s="6" t="s">
        <v>802</v>
      </c>
      <c r="D107" s="6" t="s">
        <v>813</v>
      </c>
      <c r="E107" s="20">
        <v>40</v>
      </c>
      <c r="F107" s="20"/>
      <c r="G107" s="20" t="s">
        <v>735</v>
      </c>
      <c r="H107" s="27">
        <v>29699</v>
      </c>
      <c r="I107" s="20" t="s">
        <v>668</v>
      </c>
      <c r="J107" s="6"/>
      <c r="K107" s="6" t="s">
        <v>804</v>
      </c>
      <c r="L107" s="6" t="s">
        <v>279</v>
      </c>
      <c r="M107" s="6" t="s">
        <v>280</v>
      </c>
      <c r="N107" s="6" t="s">
        <v>278</v>
      </c>
      <c r="O107" s="20" t="s">
        <v>805</v>
      </c>
      <c r="P107" s="20" t="s">
        <v>236</v>
      </c>
      <c r="Q107" s="22" t="s">
        <v>282</v>
      </c>
      <c r="R107" s="6" t="s">
        <v>806</v>
      </c>
      <c r="S107" s="6" t="s">
        <v>807</v>
      </c>
    </row>
    <row r="108" ht="45" customHeight="1" spans="1:19" x14ac:dyDescent="0.25">
      <c r="A108" s="20" t="s">
        <v>243</v>
      </c>
      <c r="B108" s="20" t="s">
        <v>276</v>
      </c>
      <c r="C108" s="6" t="s">
        <v>802</v>
      </c>
      <c r="D108" s="6" t="s">
        <v>814</v>
      </c>
      <c r="E108" s="20">
        <v>3.5</v>
      </c>
      <c r="F108" s="20">
        <v>5</v>
      </c>
      <c r="G108" s="20" t="s">
        <v>667</v>
      </c>
      <c r="H108" s="27">
        <v>59</v>
      </c>
      <c r="I108" s="20" t="s">
        <v>668</v>
      </c>
      <c r="J108" s="6"/>
      <c r="K108" s="6" t="s">
        <v>815</v>
      </c>
      <c r="L108" s="6" t="s">
        <v>279</v>
      </c>
      <c r="M108" s="6" t="s">
        <v>280</v>
      </c>
      <c r="N108" s="6" t="s">
        <v>278</v>
      </c>
      <c r="O108" s="20" t="s">
        <v>805</v>
      </c>
      <c r="P108" s="20" t="s">
        <v>297</v>
      </c>
      <c r="Q108" s="22" t="s">
        <v>282</v>
      </c>
      <c r="R108" s="6" t="s">
        <v>816</v>
      </c>
      <c r="S108" s="6" t="s">
        <v>807</v>
      </c>
    </row>
    <row r="109" ht="45" customHeight="1" spans="1:19" x14ac:dyDescent="0.25">
      <c r="A109" s="20" t="s">
        <v>243</v>
      </c>
      <c r="B109" s="20" t="s">
        <v>276</v>
      </c>
      <c r="C109" s="6" t="s">
        <v>802</v>
      </c>
      <c r="D109" s="6" t="s">
        <v>817</v>
      </c>
      <c r="E109" s="20">
        <v>5</v>
      </c>
      <c r="F109" s="20">
        <v>7.5</v>
      </c>
      <c r="G109" s="20" t="s">
        <v>667</v>
      </c>
      <c r="H109" s="27">
        <v>118</v>
      </c>
      <c r="I109" s="20" t="s">
        <v>668</v>
      </c>
      <c r="J109" s="6"/>
      <c r="K109" s="6" t="s">
        <v>815</v>
      </c>
      <c r="L109" s="6" t="s">
        <v>279</v>
      </c>
      <c r="M109" s="6" t="s">
        <v>280</v>
      </c>
      <c r="N109" s="6" t="s">
        <v>278</v>
      </c>
      <c r="O109" s="20" t="s">
        <v>805</v>
      </c>
      <c r="P109" s="20" t="s">
        <v>297</v>
      </c>
      <c r="Q109" s="22" t="s">
        <v>282</v>
      </c>
      <c r="R109" s="6" t="s">
        <v>816</v>
      </c>
      <c r="S109" s="6" t="s">
        <v>807</v>
      </c>
    </row>
    <row r="110" ht="45" customHeight="1" spans="1:19" x14ac:dyDescent="0.25">
      <c r="A110" s="20" t="s">
        <v>243</v>
      </c>
      <c r="B110" s="20" t="s">
        <v>276</v>
      </c>
      <c r="C110" s="6" t="s">
        <v>802</v>
      </c>
      <c r="D110" s="6" t="s">
        <v>818</v>
      </c>
      <c r="E110" s="20">
        <v>7.5</v>
      </c>
      <c r="F110" s="20">
        <v>12.5</v>
      </c>
      <c r="G110" s="20" t="s">
        <v>667</v>
      </c>
      <c r="H110" s="27">
        <v>238</v>
      </c>
      <c r="I110" s="20" t="s">
        <v>668</v>
      </c>
      <c r="J110" s="6"/>
      <c r="K110" s="6" t="s">
        <v>815</v>
      </c>
      <c r="L110" s="6" t="s">
        <v>279</v>
      </c>
      <c r="M110" s="6" t="s">
        <v>280</v>
      </c>
      <c r="N110" s="6" t="s">
        <v>278</v>
      </c>
      <c r="O110" s="20" t="s">
        <v>805</v>
      </c>
      <c r="P110" s="20" t="s">
        <v>297</v>
      </c>
      <c r="Q110" s="22" t="s">
        <v>282</v>
      </c>
      <c r="R110" s="6" t="s">
        <v>816</v>
      </c>
      <c r="S110" s="6" t="s">
        <v>807</v>
      </c>
    </row>
    <row r="111" ht="45" customHeight="1" spans="1:19" x14ac:dyDescent="0.25">
      <c r="A111" s="20" t="s">
        <v>243</v>
      </c>
      <c r="B111" s="20" t="s">
        <v>276</v>
      </c>
      <c r="C111" s="6" t="s">
        <v>802</v>
      </c>
      <c r="D111" s="6" t="s">
        <v>819</v>
      </c>
      <c r="E111" s="20">
        <v>12.5</v>
      </c>
      <c r="F111" s="20">
        <v>16</v>
      </c>
      <c r="G111" s="20" t="s">
        <v>667</v>
      </c>
      <c r="H111" s="27">
        <v>474</v>
      </c>
      <c r="I111" s="20" t="s">
        <v>668</v>
      </c>
      <c r="J111" s="6"/>
      <c r="K111" s="6" t="s">
        <v>815</v>
      </c>
      <c r="L111" s="6" t="s">
        <v>279</v>
      </c>
      <c r="M111" s="6" t="s">
        <v>280</v>
      </c>
      <c r="N111" s="6" t="s">
        <v>278</v>
      </c>
      <c r="O111" s="20" t="s">
        <v>805</v>
      </c>
      <c r="P111" s="20" t="s">
        <v>297</v>
      </c>
      <c r="Q111" s="22" t="s">
        <v>282</v>
      </c>
      <c r="R111" s="6" t="s">
        <v>816</v>
      </c>
      <c r="S111" s="6" t="s">
        <v>807</v>
      </c>
    </row>
    <row r="112" ht="45" customHeight="1" spans="1:19" x14ac:dyDescent="0.25">
      <c r="A112" s="20" t="s">
        <v>243</v>
      </c>
      <c r="B112" s="20" t="s">
        <v>276</v>
      </c>
      <c r="C112" s="6" t="s">
        <v>802</v>
      </c>
      <c r="D112" s="6" t="s">
        <v>820</v>
      </c>
      <c r="E112" s="20">
        <v>16</v>
      </c>
      <c r="F112" s="20">
        <v>22</v>
      </c>
      <c r="G112" s="20" t="s">
        <v>667</v>
      </c>
      <c r="H112" s="27">
        <v>787</v>
      </c>
      <c r="I112" s="20" t="s">
        <v>668</v>
      </c>
      <c r="J112" s="6"/>
      <c r="K112" s="6" t="s">
        <v>815</v>
      </c>
      <c r="L112" s="6" t="s">
        <v>279</v>
      </c>
      <c r="M112" s="6" t="s">
        <v>280</v>
      </c>
      <c r="N112" s="6" t="s">
        <v>278</v>
      </c>
      <c r="O112" s="20" t="s">
        <v>805</v>
      </c>
      <c r="P112" s="20" t="s">
        <v>297</v>
      </c>
      <c r="Q112" s="22" t="s">
        <v>282</v>
      </c>
      <c r="R112" s="6" t="s">
        <v>816</v>
      </c>
      <c r="S112" s="6" t="s">
        <v>807</v>
      </c>
    </row>
    <row r="113" ht="45" customHeight="1" spans="1:19" x14ac:dyDescent="0.25">
      <c r="A113" s="20" t="s">
        <v>243</v>
      </c>
      <c r="B113" s="20" t="s">
        <v>276</v>
      </c>
      <c r="C113" s="6" t="s">
        <v>802</v>
      </c>
      <c r="D113" s="6" t="s">
        <v>821</v>
      </c>
      <c r="E113" s="20">
        <v>22</v>
      </c>
      <c r="F113" s="20">
        <v>40</v>
      </c>
      <c r="G113" s="20" t="s">
        <v>667</v>
      </c>
      <c r="H113" s="27">
        <v>950</v>
      </c>
      <c r="I113" s="20" t="s">
        <v>668</v>
      </c>
      <c r="J113" s="6"/>
      <c r="K113" s="6" t="s">
        <v>815</v>
      </c>
      <c r="L113" s="6" t="s">
        <v>279</v>
      </c>
      <c r="M113" s="6" t="s">
        <v>280</v>
      </c>
      <c r="N113" s="6" t="s">
        <v>278</v>
      </c>
      <c r="O113" s="20" t="s">
        <v>805</v>
      </c>
      <c r="P113" s="20" t="s">
        <v>297</v>
      </c>
      <c r="Q113" s="22" t="s">
        <v>282</v>
      </c>
      <c r="R113" s="6" t="s">
        <v>816</v>
      </c>
      <c r="S113" s="6" t="s">
        <v>807</v>
      </c>
    </row>
    <row r="114" ht="45" customHeight="1" spans="1:19" x14ac:dyDescent="0.25">
      <c r="A114" s="20" t="s">
        <v>243</v>
      </c>
      <c r="B114" s="20" t="s">
        <v>276</v>
      </c>
      <c r="C114" s="6" t="s">
        <v>802</v>
      </c>
      <c r="D114" s="6" t="s">
        <v>822</v>
      </c>
      <c r="E114" s="20">
        <v>40</v>
      </c>
      <c r="F114" s="20"/>
      <c r="G114" s="20" t="s">
        <v>667</v>
      </c>
      <c r="H114" s="27">
        <v>1188</v>
      </c>
      <c r="I114" s="20" t="s">
        <v>668</v>
      </c>
      <c r="J114" s="6"/>
      <c r="K114" s="6" t="s">
        <v>815</v>
      </c>
      <c r="L114" s="6" t="s">
        <v>279</v>
      </c>
      <c r="M114" s="6" t="s">
        <v>280</v>
      </c>
      <c r="N114" s="6" t="s">
        <v>278</v>
      </c>
      <c r="O114" s="20" t="s">
        <v>805</v>
      </c>
      <c r="P114" s="20" t="s">
        <v>297</v>
      </c>
      <c r="Q114" s="22" t="s">
        <v>282</v>
      </c>
      <c r="R114" s="6" t="s">
        <v>816</v>
      </c>
      <c r="S114" s="6" t="s">
        <v>807</v>
      </c>
    </row>
    <row r="115" ht="45" customHeight="1" spans="1:19" x14ac:dyDescent="0.25">
      <c r="A115" s="20" t="s">
        <v>243</v>
      </c>
      <c r="B115" s="20" t="s">
        <v>276</v>
      </c>
      <c r="C115" s="6" t="s">
        <v>802</v>
      </c>
      <c r="D115" s="6" t="s">
        <v>814</v>
      </c>
      <c r="E115" s="20">
        <v>3.5</v>
      </c>
      <c r="F115" s="20">
        <v>5</v>
      </c>
      <c r="G115" s="20" t="s">
        <v>674</v>
      </c>
      <c r="H115" s="27">
        <v>595</v>
      </c>
      <c r="I115" s="20" t="s">
        <v>668</v>
      </c>
      <c r="J115" s="6"/>
      <c r="K115" s="6" t="s">
        <v>815</v>
      </c>
      <c r="L115" s="6" t="s">
        <v>279</v>
      </c>
      <c r="M115" s="6" t="s">
        <v>280</v>
      </c>
      <c r="N115" s="6" t="s">
        <v>278</v>
      </c>
      <c r="O115" s="20" t="s">
        <v>805</v>
      </c>
      <c r="P115" s="20" t="s">
        <v>297</v>
      </c>
      <c r="Q115" s="22" t="s">
        <v>282</v>
      </c>
      <c r="R115" s="6" t="s">
        <v>816</v>
      </c>
      <c r="S115" s="6" t="s">
        <v>807</v>
      </c>
    </row>
    <row r="116" ht="45" customHeight="1" spans="1:19" x14ac:dyDescent="0.25">
      <c r="A116" s="20" t="s">
        <v>243</v>
      </c>
      <c r="B116" s="20" t="s">
        <v>276</v>
      </c>
      <c r="C116" s="6" t="s">
        <v>802</v>
      </c>
      <c r="D116" s="6" t="s">
        <v>817</v>
      </c>
      <c r="E116" s="20">
        <v>5</v>
      </c>
      <c r="F116" s="20">
        <v>7.5</v>
      </c>
      <c r="G116" s="20" t="s">
        <v>674</v>
      </c>
      <c r="H116" s="27">
        <v>1188</v>
      </c>
      <c r="I116" s="20" t="s">
        <v>668</v>
      </c>
      <c r="J116" s="6"/>
      <c r="K116" s="6" t="s">
        <v>815</v>
      </c>
      <c r="L116" s="6" t="s">
        <v>279</v>
      </c>
      <c r="M116" s="6" t="s">
        <v>280</v>
      </c>
      <c r="N116" s="6" t="s">
        <v>278</v>
      </c>
      <c r="O116" s="20" t="s">
        <v>805</v>
      </c>
      <c r="P116" s="20" t="s">
        <v>297</v>
      </c>
      <c r="Q116" s="22" t="s">
        <v>282</v>
      </c>
      <c r="R116" s="6" t="s">
        <v>816</v>
      </c>
      <c r="S116" s="6" t="s">
        <v>807</v>
      </c>
    </row>
    <row r="117" ht="45" customHeight="1" spans="1:19" x14ac:dyDescent="0.25">
      <c r="A117" s="20" t="s">
        <v>243</v>
      </c>
      <c r="B117" s="20" t="s">
        <v>276</v>
      </c>
      <c r="C117" s="6" t="s">
        <v>802</v>
      </c>
      <c r="D117" s="6" t="s">
        <v>818</v>
      </c>
      <c r="E117" s="20">
        <v>7.5</v>
      </c>
      <c r="F117" s="20">
        <v>12.5</v>
      </c>
      <c r="G117" s="20" t="s">
        <v>674</v>
      </c>
      <c r="H117" s="27">
        <v>2376</v>
      </c>
      <c r="I117" s="20" t="s">
        <v>668</v>
      </c>
      <c r="J117" s="6"/>
      <c r="K117" s="6" t="s">
        <v>815</v>
      </c>
      <c r="L117" s="6" t="s">
        <v>279</v>
      </c>
      <c r="M117" s="6" t="s">
        <v>280</v>
      </c>
      <c r="N117" s="6" t="s">
        <v>278</v>
      </c>
      <c r="O117" s="20" t="s">
        <v>805</v>
      </c>
      <c r="P117" s="20" t="s">
        <v>297</v>
      </c>
      <c r="Q117" s="22" t="s">
        <v>282</v>
      </c>
      <c r="R117" s="6" t="s">
        <v>816</v>
      </c>
      <c r="S117" s="6" t="s">
        <v>807</v>
      </c>
    </row>
    <row r="118" ht="45" customHeight="1" spans="1:19" x14ac:dyDescent="0.25">
      <c r="A118" s="20" t="s">
        <v>243</v>
      </c>
      <c r="B118" s="20" t="s">
        <v>276</v>
      </c>
      <c r="C118" s="6" t="s">
        <v>802</v>
      </c>
      <c r="D118" s="6" t="s">
        <v>819</v>
      </c>
      <c r="E118" s="20">
        <v>12.5</v>
      </c>
      <c r="F118" s="20">
        <v>16</v>
      </c>
      <c r="G118" s="20" t="s">
        <v>674</v>
      </c>
      <c r="H118" s="27">
        <v>4752</v>
      </c>
      <c r="I118" s="20" t="s">
        <v>668</v>
      </c>
      <c r="J118" s="6"/>
      <c r="K118" s="6" t="s">
        <v>815</v>
      </c>
      <c r="L118" s="6" t="s">
        <v>279</v>
      </c>
      <c r="M118" s="6" t="s">
        <v>280</v>
      </c>
      <c r="N118" s="6" t="s">
        <v>278</v>
      </c>
      <c r="O118" s="20" t="s">
        <v>805</v>
      </c>
      <c r="P118" s="20" t="s">
        <v>297</v>
      </c>
      <c r="Q118" s="22" t="s">
        <v>282</v>
      </c>
      <c r="R118" s="6" t="s">
        <v>816</v>
      </c>
      <c r="S118" s="6" t="s">
        <v>807</v>
      </c>
    </row>
    <row r="119" ht="45" customHeight="1" spans="1:19" x14ac:dyDescent="0.25">
      <c r="A119" s="20" t="s">
        <v>243</v>
      </c>
      <c r="B119" s="20" t="s">
        <v>276</v>
      </c>
      <c r="C119" s="6" t="s">
        <v>802</v>
      </c>
      <c r="D119" s="6" t="s">
        <v>820</v>
      </c>
      <c r="E119" s="20">
        <v>16</v>
      </c>
      <c r="F119" s="20">
        <v>22</v>
      </c>
      <c r="G119" s="20" t="s">
        <v>674</v>
      </c>
      <c r="H119" s="27">
        <v>7870</v>
      </c>
      <c r="I119" s="20" t="s">
        <v>668</v>
      </c>
      <c r="J119" s="6"/>
      <c r="K119" s="6" t="s">
        <v>815</v>
      </c>
      <c r="L119" s="6" t="s">
        <v>279</v>
      </c>
      <c r="M119" s="6" t="s">
        <v>280</v>
      </c>
      <c r="N119" s="6" t="s">
        <v>278</v>
      </c>
      <c r="O119" s="20" t="s">
        <v>805</v>
      </c>
      <c r="P119" s="20" t="s">
        <v>297</v>
      </c>
      <c r="Q119" s="22" t="s">
        <v>282</v>
      </c>
      <c r="R119" s="6" t="s">
        <v>816</v>
      </c>
      <c r="S119" s="6" t="s">
        <v>807</v>
      </c>
    </row>
    <row r="120" ht="45" customHeight="1" spans="1:19" x14ac:dyDescent="0.25">
      <c r="A120" s="20" t="s">
        <v>243</v>
      </c>
      <c r="B120" s="20" t="s">
        <v>276</v>
      </c>
      <c r="C120" s="6" t="s">
        <v>802</v>
      </c>
      <c r="D120" s="6" t="s">
        <v>821</v>
      </c>
      <c r="E120" s="20">
        <v>22</v>
      </c>
      <c r="F120" s="20">
        <v>40</v>
      </c>
      <c r="G120" s="20" t="s">
        <v>674</v>
      </c>
      <c r="H120" s="27">
        <v>9505</v>
      </c>
      <c r="I120" s="20" t="s">
        <v>668</v>
      </c>
      <c r="J120" s="6"/>
      <c r="K120" s="6" t="s">
        <v>815</v>
      </c>
      <c r="L120" s="6" t="s">
        <v>279</v>
      </c>
      <c r="M120" s="6" t="s">
        <v>280</v>
      </c>
      <c r="N120" s="6" t="s">
        <v>278</v>
      </c>
      <c r="O120" s="20" t="s">
        <v>805</v>
      </c>
      <c r="P120" s="20" t="s">
        <v>297</v>
      </c>
      <c r="Q120" s="22" t="s">
        <v>282</v>
      </c>
      <c r="R120" s="6" t="s">
        <v>816</v>
      </c>
      <c r="S120" s="6" t="s">
        <v>807</v>
      </c>
    </row>
    <row r="121" ht="45" customHeight="1" spans="1:19" x14ac:dyDescent="0.25">
      <c r="A121" s="20" t="s">
        <v>243</v>
      </c>
      <c r="B121" s="20" t="s">
        <v>276</v>
      </c>
      <c r="C121" s="6" t="s">
        <v>802</v>
      </c>
      <c r="D121" s="6" t="s">
        <v>822</v>
      </c>
      <c r="E121" s="20">
        <v>40</v>
      </c>
      <c r="F121" s="20"/>
      <c r="G121" s="20" t="s">
        <v>674</v>
      </c>
      <c r="H121" s="27">
        <v>11881</v>
      </c>
      <c r="I121" s="20" t="s">
        <v>668</v>
      </c>
      <c r="J121" s="6"/>
      <c r="K121" s="6" t="s">
        <v>815</v>
      </c>
      <c r="L121" s="6" t="s">
        <v>279</v>
      </c>
      <c r="M121" s="6" t="s">
        <v>280</v>
      </c>
      <c r="N121" s="6" t="s">
        <v>278</v>
      </c>
      <c r="O121" s="20" t="s">
        <v>805</v>
      </c>
      <c r="P121" s="20" t="s">
        <v>297</v>
      </c>
      <c r="Q121" s="22" t="s">
        <v>282</v>
      </c>
      <c r="R121" s="6" t="s">
        <v>816</v>
      </c>
      <c r="S121" s="6" t="s">
        <v>807</v>
      </c>
    </row>
    <row r="122" ht="45" customHeight="1" spans="1:19" x14ac:dyDescent="0.25">
      <c r="A122" s="20" t="s">
        <v>243</v>
      </c>
      <c r="B122" s="20" t="s">
        <v>283</v>
      </c>
      <c r="C122" s="6" t="s">
        <v>823</v>
      </c>
      <c r="D122" s="6" t="s">
        <v>824</v>
      </c>
      <c r="E122" s="20"/>
      <c r="F122" s="20"/>
      <c r="G122" s="20" t="s">
        <v>667</v>
      </c>
      <c r="H122" s="27"/>
      <c r="I122" s="20" t="s">
        <v>668</v>
      </c>
      <c r="J122" s="6"/>
      <c r="K122" s="6" t="s">
        <v>825</v>
      </c>
      <c r="L122" s="6" t="s">
        <v>285</v>
      </c>
      <c r="M122" s="6" t="s">
        <v>286</v>
      </c>
      <c r="N122" s="6" t="s">
        <v>284</v>
      </c>
      <c r="O122" s="20" t="s">
        <v>787</v>
      </c>
      <c r="P122" s="20" t="s">
        <v>269</v>
      </c>
      <c r="Q122" s="22" t="s">
        <v>288</v>
      </c>
      <c r="R122" s="6" t="s">
        <v>826</v>
      </c>
      <c r="S122" s="6" t="s">
        <v>827</v>
      </c>
    </row>
    <row r="123" ht="45" customHeight="1" spans="1:19" x14ac:dyDescent="0.25">
      <c r="A123" s="20" t="s">
        <v>243</v>
      </c>
      <c r="B123" s="20" t="s">
        <v>283</v>
      </c>
      <c r="C123" s="6" t="s">
        <v>823</v>
      </c>
      <c r="D123" s="6" t="s">
        <v>824</v>
      </c>
      <c r="E123" s="20"/>
      <c r="F123" s="20"/>
      <c r="G123" s="20" t="s">
        <v>674</v>
      </c>
      <c r="H123" s="27"/>
      <c r="I123" s="20" t="s">
        <v>668</v>
      </c>
      <c r="J123" s="6"/>
      <c r="K123" s="6" t="s">
        <v>828</v>
      </c>
      <c r="L123" s="6" t="s">
        <v>285</v>
      </c>
      <c r="M123" s="6" t="s">
        <v>286</v>
      </c>
      <c r="N123" s="6" t="s">
        <v>284</v>
      </c>
      <c r="O123" s="20" t="s">
        <v>787</v>
      </c>
      <c r="P123" s="20" t="s">
        <v>269</v>
      </c>
      <c r="Q123" s="22" t="s">
        <v>288</v>
      </c>
      <c r="R123" s="6" t="s">
        <v>826</v>
      </c>
      <c r="S123" s="6" t="s">
        <v>827</v>
      </c>
    </row>
    <row r="124" ht="45" customHeight="1" spans="1:19" x14ac:dyDescent="0.25">
      <c r="A124" s="20" t="s">
        <v>243</v>
      </c>
      <c r="B124" s="20" t="s">
        <v>289</v>
      </c>
      <c r="C124" s="6" t="s">
        <v>829</v>
      </c>
      <c r="D124" s="6" t="s">
        <v>830</v>
      </c>
      <c r="E124" s="20">
        <v>7.5</v>
      </c>
      <c r="F124" s="20">
        <v>12</v>
      </c>
      <c r="G124" s="20" t="s">
        <v>667</v>
      </c>
      <c r="H124" s="27">
        <v>74</v>
      </c>
      <c r="I124" s="20" t="s">
        <v>668</v>
      </c>
      <c r="J124" s="6"/>
      <c r="K124" s="6" t="s">
        <v>831</v>
      </c>
      <c r="L124" s="6" t="s">
        <v>292</v>
      </c>
      <c r="M124" s="6" t="s">
        <v>293</v>
      </c>
      <c r="N124" s="6" t="s">
        <v>291</v>
      </c>
      <c r="O124" s="20" t="s">
        <v>832</v>
      </c>
      <c r="P124" s="20" t="s">
        <v>236</v>
      </c>
      <c r="Q124" s="22" t="s">
        <v>295</v>
      </c>
      <c r="R124" s="6" t="s">
        <v>833</v>
      </c>
      <c r="S124" s="6" t="s">
        <v>834</v>
      </c>
    </row>
    <row r="125" ht="45" customHeight="1" spans="1:19" x14ac:dyDescent="0.25">
      <c r="A125" s="20" t="s">
        <v>243</v>
      </c>
      <c r="B125" s="20" t="s">
        <v>289</v>
      </c>
      <c r="C125" s="6" t="s">
        <v>829</v>
      </c>
      <c r="D125" s="6" t="s">
        <v>830</v>
      </c>
      <c r="E125" s="20">
        <v>7.5</v>
      </c>
      <c r="F125" s="20">
        <v>12</v>
      </c>
      <c r="G125" s="20" t="s">
        <v>674</v>
      </c>
      <c r="H125" s="27">
        <v>373</v>
      </c>
      <c r="I125" s="20" t="s">
        <v>668</v>
      </c>
      <c r="J125" s="6"/>
      <c r="K125" s="6" t="s">
        <v>831</v>
      </c>
      <c r="L125" s="6" t="s">
        <v>292</v>
      </c>
      <c r="M125" s="6" t="s">
        <v>293</v>
      </c>
      <c r="N125" s="6" t="s">
        <v>291</v>
      </c>
      <c r="O125" s="20" t="s">
        <v>832</v>
      </c>
      <c r="P125" s="20" t="s">
        <v>236</v>
      </c>
      <c r="Q125" s="22" t="s">
        <v>295</v>
      </c>
      <c r="R125" s="6" t="s">
        <v>833</v>
      </c>
      <c r="S125" s="6" t="s">
        <v>834</v>
      </c>
    </row>
    <row r="126" ht="45" customHeight="1" spans="1:19" x14ac:dyDescent="0.25">
      <c r="A126" s="20" t="s">
        <v>243</v>
      </c>
      <c r="B126" s="20" t="s">
        <v>289</v>
      </c>
      <c r="C126" s="6" t="s">
        <v>829</v>
      </c>
      <c r="D126" s="6" t="s">
        <v>830</v>
      </c>
      <c r="E126" s="20">
        <v>7.5</v>
      </c>
      <c r="F126" s="20">
        <v>12</v>
      </c>
      <c r="G126" s="20" t="s">
        <v>735</v>
      </c>
      <c r="H126" s="27">
        <v>3333</v>
      </c>
      <c r="I126" s="20" t="s">
        <v>668</v>
      </c>
      <c r="J126" s="6"/>
      <c r="K126" s="6" t="s">
        <v>831</v>
      </c>
      <c r="L126" s="6" t="s">
        <v>292</v>
      </c>
      <c r="M126" s="6" t="s">
        <v>293</v>
      </c>
      <c r="N126" s="6" t="s">
        <v>291</v>
      </c>
      <c r="O126" s="20" t="s">
        <v>832</v>
      </c>
      <c r="P126" s="20" t="s">
        <v>236</v>
      </c>
      <c r="Q126" s="22" t="s">
        <v>295</v>
      </c>
      <c r="R126" s="6" t="s">
        <v>833</v>
      </c>
      <c r="S126" s="6" t="s">
        <v>834</v>
      </c>
    </row>
    <row r="127" ht="45" customHeight="1" spans="1:19" x14ac:dyDescent="0.25">
      <c r="A127" s="20" t="s">
        <v>243</v>
      </c>
      <c r="B127" s="20" t="s">
        <v>289</v>
      </c>
      <c r="C127" s="6" t="s">
        <v>829</v>
      </c>
      <c r="D127" s="6" t="s">
        <v>835</v>
      </c>
      <c r="E127" s="20">
        <v>12.1</v>
      </c>
      <c r="F127" s="20">
        <v>16</v>
      </c>
      <c r="G127" s="20" t="s">
        <v>667</v>
      </c>
      <c r="H127" s="27">
        <v>118</v>
      </c>
      <c r="I127" s="20" t="s">
        <v>668</v>
      </c>
      <c r="J127" s="6"/>
      <c r="K127" s="6" t="s">
        <v>831</v>
      </c>
      <c r="L127" s="6" t="s">
        <v>292</v>
      </c>
      <c r="M127" s="6" t="s">
        <v>293</v>
      </c>
      <c r="N127" s="6" t="s">
        <v>291</v>
      </c>
      <c r="O127" s="20" t="s">
        <v>832</v>
      </c>
      <c r="P127" s="20" t="s">
        <v>236</v>
      </c>
      <c r="Q127" s="22" t="s">
        <v>295</v>
      </c>
      <c r="R127" s="6" t="s">
        <v>833</v>
      </c>
      <c r="S127" s="6" t="s">
        <v>834</v>
      </c>
    </row>
    <row r="128" ht="45" customHeight="1" spans="1:19" x14ac:dyDescent="0.25">
      <c r="A128" s="20" t="s">
        <v>243</v>
      </c>
      <c r="B128" s="20" t="s">
        <v>289</v>
      </c>
      <c r="C128" s="6" t="s">
        <v>829</v>
      </c>
      <c r="D128" s="6" t="s">
        <v>835</v>
      </c>
      <c r="E128" s="20">
        <v>12.1</v>
      </c>
      <c r="F128" s="20">
        <v>16</v>
      </c>
      <c r="G128" s="20" t="s">
        <v>674</v>
      </c>
      <c r="H128" s="27">
        <v>595</v>
      </c>
      <c r="I128" s="20" t="s">
        <v>668</v>
      </c>
      <c r="J128" s="6"/>
      <c r="K128" s="6" t="s">
        <v>831</v>
      </c>
      <c r="L128" s="6" t="s">
        <v>292</v>
      </c>
      <c r="M128" s="6" t="s">
        <v>293</v>
      </c>
      <c r="N128" s="6" t="s">
        <v>291</v>
      </c>
      <c r="O128" s="20" t="s">
        <v>832</v>
      </c>
      <c r="P128" s="20" t="s">
        <v>236</v>
      </c>
      <c r="Q128" s="22" t="s">
        <v>295</v>
      </c>
      <c r="R128" s="6" t="s">
        <v>833</v>
      </c>
      <c r="S128" s="6" t="s">
        <v>834</v>
      </c>
    </row>
    <row r="129" ht="45" customHeight="1" spans="1:19" x14ac:dyDescent="0.25">
      <c r="A129" s="20" t="s">
        <v>243</v>
      </c>
      <c r="B129" s="20" t="s">
        <v>289</v>
      </c>
      <c r="C129" s="6" t="s">
        <v>829</v>
      </c>
      <c r="D129" s="6" t="s">
        <v>835</v>
      </c>
      <c r="E129" s="20">
        <v>12.1</v>
      </c>
      <c r="F129" s="20">
        <v>16</v>
      </c>
      <c r="G129" s="20" t="s">
        <v>735</v>
      </c>
      <c r="H129" s="27">
        <v>5060</v>
      </c>
      <c r="I129" s="20" t="s">
        <v>668</v>
      </c>
      <c r="J129" s="6"/>
      <c r="K129" s="6" t="s">
        <v>831</v>
      </c>
      <c r="L129" s="6" t="s">
        <v>292</v>
      </c>
      <c r="M129" s="6" t="s">
        <v>293</v>
      </c>
      <c r="N129" s="6" t="s">
        <v>291</v>
      </c>
      <c r="O129" s="20" t="s">
        <v>832</v>
      </c>
      <c r="P129" s="20" t="s">
        <v>236</v>
      </c>
      <c r="Q129" s="22" t="s">
        <v>295</v>
      </c>
      <c r="R129" s="6" t="s">
        <v>833</v>
      </c>
      <c r="S129" s="6" t="s">
        <v>834</v>
      </c>
    </row>
    <row r="130" ht="45" customHeight="1" spans="1:19" x14ac:dyDescent="0.25">
      <c r="A130" s="20" t="s">
        <v>243</v>
      </c>
      <c r="B130" s="20" t="s">
        <v>289</v>
      </c>
      <c r="C130" s="6" t="s">
        <v>829</v>
      </c>
      <c r="D130" s="6" t="s">
        <v>836</v>
      </c>
      <c r="E130" s="20">
        <v>16.1</v>
      </c>
      <c r="F130" s="20">
        <v>40</v>
      </c>
      <c r="G130" s="20" t="s">
        <v>667</v>
      </c>
      <c r="H130" s="27">
        <v>149</v>
      </c>
      <c r="I130" s="20" t="s">
        <v>668</v>
      </c>
      <c r="J130" s="6"/>
      <c r="K130" s="6" t="s">
        <v>837</v>
      </c>
      <c r="L130" s="6" t="s">
        <v>292</v>
      </c>
      <c r="M130" s="6" t="s">
        <v>293</v>
      </c>
      <c r="N130" s="6" t="s">
        <v>291</v>
      </c>
      <c r="O130" s="20" t="s">
        <v>832</v>
      </c>
      <c r="P130" s="20" t="s">
        <v>236</v>
      </c>
      <c r="Q130" s="22" t="s">
        <v>295</v>
      </c>
      <c r="R130" s="6" t="s">
        <v>833</v>
      </c>
      <c r="S130" s="6" t="s">
        <v>834</v>
      </c>
    </row>
    <row r="131" ht="45" customHeight="1" spans="1:19" x14ac:dyDescent="0.25">
      <c r="A131" s="20" t="s">
        <v>243</v>
      </c>
      <c r="B131" s="20" t="s">
        <v>289</v>
      </c>
      <c r="C131" s="6" t="s">
        <v>829</v>
      </c>
      <c r="D131" s="6" t="s">
        <v>836</v>
      </c>
      <c r="E131" s="20">
        <v>16.1</v>
      </c>
      <c r="F131" s="20">
        <v>40</v>
      </c>
      <c r="G131" s="20" t="s">
        <v>674</v>
      </c>
      <c r="H131" s="27">
        <v>741</v>
      </c>
      <c r="I131" s="20" t="s">
        <v>668</v>
      </c>
      <c r="J131" s="6"/>
      <c r="K131" s="6" t="s">
        <v>837</v>
      </c>
      <c r="L131" s="6" t="s">
        <v>292</v>
      </c>
      <c r="M131" s="6" t="s">
        <v>293</v>
      </c>
      <c r="N131" s="6" t="s">
        <v>291</v>
      </c>
      <c r="O131" s="20" t="s">
        <v>832</v>
      </c>
      <c r="P131" s="20" t="s">
        <v>236</v>
      </c>
      <c r="Q131" s="22" t="s">
        <v>295</v>
      </c>
      <c r="R131" s="6" t="s">
        <v>833</v>
      </c>
      <c r="S131" s="6" t="s">
        <v>834</v>
      </c>
    </row>
    <row r="132" ht="45" customHeight="1" spans="1:19" x14ac:dyDescent="0.25">
      <c r="A132" s="20" t="s">
        <v>243</v>
      </c>
      <c r="B132" s="20" t="s">
        <v>289</v>
      </c>
      <c r="C132" s="6" t="s">
        <v>829</v>
      </c>
      <c r="D132" s="6" t="s">
        <v>836</v>
      </c>
      <c r="E132" s="20">
        <v>16.1</v>
      </c>
      <c r="F132" s="20">
        <v>40</v>
      </c>
      <c r="G132" s="20" t="s">
        <v>735</v>
      </c>
      <c r="H132" s="27">
        <v>6682</v>
      </c>
      <c r="I132" s="20" t="s">
        <v>668</v>
      </c>
      <c r="J132" s="6"/>
      <c r="K132" s="6" t="s">
        <v>837</v>
      </c>
      <c r="L132" s="6" t="s">
        <v>292</v>
      </c>
      <c r="M132" s="6" t="s">
        <v>293</v>
      </c>
      <c r="N132" s="6" t="s">
        <v>291</v>
      </c>
      <c r="O132" s="20" t="s">
        <v>832</v>
      </c>
      <c r="P132" s="20" t="s">
        <v>236</v>
      </c>
      <c r="Q132" s="22" t="s">
        <v>295</v>
      </c>
      <c r="R132" s="6" t="s">
        <v>833</v>
      </c>
      <c r="S132" s="6" t="s">
        <v>834</v>
      </c>
    </row>
    <row r="133" ht="45" customHeight="1" spans="1:19" x14ac:dyDescent="0.25">
      <c r="A133" s="20" t="s">
        <v>243</v>
      </c>
      <c r="B133" s="20" t="s">
        <v>289</v>
      </c>
      <c r="C133" s="6" t="s">
        <v>829</v>
      </c>
      <c r="D133" s="6" t="s">
        <v>838</v>
      </c>
      <c r="E133" s="20">
        <v>40</v>
      </c>
      <c r="F133" s="20"/>
      <c r="G133" s="20" t="s">
        <v>667</v>
      </c>
      <c r="H133" s="27">
        <v>223</v>
      </c>
      <c r="I133" s="20" t="s">
        <v>668</v>
      </c>
      <c r="J133" s="6"/>
      <c r="K133" s="6" t="s">
        <v>839</v>
      </c>
      <c r="L133" s="6" t="s">
        <v>292</v>
      </c>
      <c r="M133" s="6" t="s">
        <v>293</v>
      </c>
      <c r="N133" s="6" t="s">
        <v>291</v>
      </c>
      <c r="O133" s="20" t="s">
        <v>832</v>
      </c>
      <c r="P133" s="20" t="s">
        <v>236</v>
      </c>
      <c r="Q133" s="22" t="s">
        <v>295</v>
      </c>
      <c r="R133" s="6" t="s">
        <v>833</v>
      </c>
      <c r="S133" s="6" t="s">
        <v>834</v>
      </c>
    </row>
    <row r="134" ht="45" customHeight="1" spans="1:19" x14ac:dyDescent="0.25">
      <c r="A134" s="20" t="s">
        <v>243</v>
      </c>
      <c r="B134" s="20" t="s">
        <v>289</v>
      </c>
      <c r="C134" s="6" t="s">
        <v>829</v>
      </c>
      <c r="D134" s="6" t="s">
        <v>838</v>
      </c>
      <c r="E134" s="20">
        <v>40</v>
      </c>
      <c r="F134" s="20"/>
      <c r="G134" s="20" t="s">
        <v>674</v>
      </c>
      <c r="H134" s="27">
        <v>1187</v>
      </c>
      <c r="I134" s="20" t="s">
        <v>668</v>
      </c>
      <c r="J134" s="6"/>
      <c r="K134" s="6" t="s">
        <v>839</v>
      </c>
      <c r="L134" s="6" t="s">
        <v>292</v>
      </c>
      <c r="M134" s="6" t="s">
        <v>293</v>
      </c>
      <c r="N134" s="6" t="s">
        <v>291</v>
      </c>
      <c r="O134" s="20" t="s">
        <v>832</v>
      </c>
      <c r="P134" s="20" t="s">
        <v>236</v>
      </c>
      <c r="Q134" s="22" t="s">
        <v>295</v>
      </c>
      <c r="R134" s="6" t="s">
        <v>833</v>
      </c>
      <c r="S134" s="6" t="s">
        <v>834</v>
      </c>
    </row>
    <row r="135" ht="45" customHeight="1" spans="1:19" x14ac:dyDescent="0.25">
      <c r="A135" s="20" t="s">
        <v>243</v>
      </c>
      <c r="B135" s="20" t="s">
        <v>289</v>
      </c>
      <c r="C135" s="6" t="s">
        <v>829</v>
      </c>
      <c r="D135" s="6" t="s">
        <v>838</v>
      </c>
      <c r="E135" s="20">
        <v>40</v>
      </c>
      <c r="F135" s="20"/>
      <c r="G135" s="20" t="s">
        <v>735</v>
      </c>
      <c r="H135" s="27">
        <v>10692</v>
      </c>
      <c r="I135" s="20" t="s">
        <v>668</v>
      </c>
      <c r="J135" s="6"/>
      <c r="K135" s="6" t="s">
        <v>839</v>
      </c>
      <c r="L135" s="6" t="s">
        <v>292</v>
      </c>
      <c r="M135" s="6" t="s">
        <v>293</v>
      </c>
      <c r="N135" s="6" t="s">
        <v>291</v>
      </c>
      <c r="O135" s="20" t="s">
        <v>832</v>
      </c>
      <c r="P135" s="20" t="s">
        <v>236</v>
      </c>
      <c r="Q135" s="22" t="s">
        <v>295</v>
      </c>
      <c r="R135" s="6" t="s">
        <v>833</v>
      </c>
      <c r="S135" s="6" t="s">
        <v>834</v>
      </c>
    </row>
    <row r="136" ht="45" customHeight="1" spans="1:19" x14ac:dyDescent="0.25">
      <c r="A136" s="20" t="s">
        <v>243</v>
      </c>
      <c r="B136" s="20" t="s">
        <v>296</v>
      </c>
      <c r="C136" s="6" t="s">
        <v>840</v>
      </c>
      <c r="D136" s="6" t="s">
        <v>841</v>
      </c>
      <c r="E136" s="20">
        <v>3.5</v>
      </c>
      <c r="F136" s="20">
        <v>7.5</v>
      </c>
      <c r="G136" s="20" t="s">
        <v>842</v>
      </c>
      <c r="H136" s="27">
        <v>60</v>
      </c>
      <c r="I136" s="20" t="s">
        <v>668</v>
      </c>
      <c r="J136" s="6"/>
      <c r="K136" s="6" t="s">
        <v>843</v>
      </c>
      <c r="L136" s="6" t="s">
        <v>300</v>
      </c>
      <c r="M136" s="6" t="s">
        <v>301</v>
      </c>
      <c r="N136" s="6" t="s">
        <v>299</v>
      </c>
      <c r="O136" s="20" t="s">
        <v>844</v>
      </c>
      <c r="P136" s="20" t="s">
        <v>297</v>
      </c>
      <c r="Q136" s="22" t="s">
        <v>303</v>
      </c>
      <c r="R136" s="6" t="s">
        <v>845</v>
      </c>
      <c r="S136" s="6" t="s">
        <v>846</v>
      </c>
    </row>
    <row r="137" ht="45" customHeight="1" spans="1:19" x14ac:dyDescent="0.25">
      <c r="A137" s="20" t="s">
        <v>243</v>
      </c>
      <c r="B137" s="20" t="s">
        <v>296</v>
      </c>
      <c r="C137" s="6" t="s">
        <v>840</v>
      </c>
      <c r="D137" s="6" t="s">
        <v>847</v>
      </c>
      <c r="E137" s="20">
        <v>7.5</v>
      </c>
      <c r="F137" s="20">
        <v>12.5</v>
      </c>
      <c r="G137" s="20" t="s">
        <v>842</v>
      </c>
      <c r="H137" s="27">
        <v>110</v>
      </c>
      <c r="I137" s="20" t="s">
        <v>668</v>
      </c>
      <c r="J137" s="6"/>
      <c r="K137" s="6" t="s">
        <v>843</v>
      </c>
      <c r="L137" s="6" t="s">
        <v>300</v>
      </c>
      <c r="M137" s="6" t="s">
        <v>301</v>
      </c>
      <c r="N137" s="6" t="s">
        <v>299</v>
      </c>
      <c r="O137" s="20" t="s">
        <v>844</v>
      </c>
      <c r="P137" s="20" t="s">
        <v>297</v>
      </c>
      <c r="Q137" s="22" t="s">
        <v>303</v>
      </c>
      <c r="R137" s="6" t="s">
        <v>845</v>
      </c>
      <c r="S137" s="6" t="s">
        <v>846</v>
      </c>
    </row>
    <row r="138" ht="45" customHeight="1" spans="1:19" x14ac:dyDescent="0.25">
      <c r="A138" s="20" t="s">
        <v>243</v>
      </c>
      <c r="B138" s="20" t="s">
        <v>296</v>
      </c>
      <c r="C138" s="6" t="s">
        <v>840</v>
      </c>
      <c r="D138" s="6" t="s">
        <v>848</v>
      </c>
      <c r="E138" s="20">
        <v>12.5</v>
      </c>
      <c r="F138" s="20">
        <v>16</v>
      </c>
      <c r="G138" s="20" t="s">
        <v>842</v>
      </c>
      <c r="H138" s="27">
        <v>180</v>
      </c>
      <c r="I138" s="20" t="s">
        <v>668</v>
      </c>
      <c r="J138" s="6"/>
      <c r="K138" s="6" t="s">
        <v>843</v>
      </c>
      <c r="L138" s="6" t="s">
        <v>300</v>
      </c>
      <c r="M138" s="6" t="s">
        <v>301</v>
      </c>
      <c r="N138" s="6" t="s">
        <v>299</v>
      </c>
      <c r="O138" s="20" t="s">
        <v>844</v>
      </c>
      <c r="P138" s="20" t="s">
        <v>297</v>
      </c>
      <c r="Q138" s="22" t="s">
        <v>303</v>
      </c>
      <c r="R138" s="6" t="s">
        <v>845</v>
      </c>
      <c r="S138" s="6" t="s">
        <v>846</v>
      </c>
    </row>
    <row r="139" ht="45" customHeight="1" spans="1:19" x14ac:dyDescent="0.25">
      <c r="A139" s="20" t="s">
        <v>243</v>
      </c>
      <c r="B139" s="20" t="s">
        <v>296</v>
      </c>
      <c r="C139" s="6" t="s">
        <v>840</v>
      </c>
      <c r="D139" s="6" t="s">
        <v>849</v>
      </c>
      <c r="E139" s="20">
        <v>16</v>
      </c>
      <c r="F139" s="20">
        <v>22</v>
      </c>
      <c r="G139" s="20" t="s">
        <v>842</v>
      </c>
      <c r="H139" s="27">
        <v>200</v>
      </c>
      <c r="I139" s="20" t="s">
        <v>668</v>
      </c>
      <c r="J139" s="6"/>
      <c r="K139" s="6" t="s">
        <v>843</v>
      </c>
      <c r="L139" s="6" t="s">
        <v>300</v>
      </c>
      <c r="M139" s="6" t="s">
        <v>301</v>
      </c>
      <c r="N139" s="6" t="s">
        <v>299</v>
      </c>
      <c r="O139" s="20" t="s">
        <v>844</v>
      </c>
      <c r="P139" s="20" t="s">
        <v>297</v>
      </c>
      <c r="Q139" s="22" t="s">
        <v>303</v>
      </c>
      <c r="R139" s="6" t="s">
        <v>845</v>
      </c>
      <c r="S139" s="6" t="s">
        <v>846</v>
      </c>
    </row>
    <row r="140" ht="45" customHeight="1" spans="1:19" x14ac:dyDescent="0.25">
      <c r="A140" s="20" t="s">
        <v>243</v>
      </c>
      <c r="B140" s="20" t="s">
        <v>296</v>
      </c>
      <c r="C140" s="6" t="s">
        <v>840</v>
      </c>
      <c r="D140" s="6" t="s">
        <v>850</v>
      </c>
      <c r="E140" s="20">
        <v>22</v>
      </c>
      <c r="F140" s="20">
        <v>40</v>
      </c>
      <c r="G140" s="20" t="s">
        <v>842</v>
      </c>
      <c r="H140" s="27">
        <v>250</v>
      </c>
      <c r="I140" s="20" t="s">
        <v>668</v>
      </c>
      <c r="J140" s="6"/>
      <c r="K140" s="6" t="s">
        <v>843</v>
      </c>
      <c r="L140" s="6" t="s">
        <v>300</v>
      </c>
      <c r="M140" s="6" t="s">
        <v>301</v>
      </c>
      <c r="N140" s="6" t="s">
        <v>299</v>
      </c>
      <c r="O140" s="20" t="s">
        <v>844</v>
      </c>
      <c r="P140" s="20" t="s">
        <v>297</v>
      </c>
      <c r="Q140" s="22" t="s">
        <v>303</v>
      </c>
      <c r="R140" s="6" t="s">
        <v>845</v>
      </c>
      <c r="S140" s="6" t="s">
        <v>846</v>
      </c>
    </row>
    <row r="141" ht="45" customHeight="1" spans="1:19" x14ac:dyDescent="0.25">
      <c r="A141" s="20" t="s">
        <v>243</v>
      </c>
      <c r="B141" s="20" t="s">
        <v>304</v>
      </c>
      <c r="C141" s="6"/>
      <c r="D141" s="6"/>
      <c r="E141" s="20"/>
      <c r="F141" s="20"/>
      <c r="G141" s="20" t="s">
        <v>463</v>
      </c>
      <c r="H141" s="27"/>
      <c r="I141" s="20"/>
      <c r="J141" s="6"/>
      <c r="K141" s="6"/>
      <c r="L141" s="6"/>
      <c r="M141" s="6" t="s">
        <v>305</v>
      </c>
      <c r="N141" s="6"/>
      <c r="O141" s="20" t="s">
        <v>787</v>
      </c>
      <c r="P141" s="20" t="s">
        <v>297</v>
      </c>
      <c r="Q141" s="22" t="s">
        <v>306</v>
      </c>
      <c r="R141" s="6" t="s">
        <v>851</v>
      </c>
      <c r="S141" s="6"/>
    </row>
    <row r="142" ht="45" customHeight="1" spans="1:19" x14ac:dyDescent="0.25">
      <c r="A142" s="20" t="s">
        <v>243</v>
      </c>
      <c r="B142" s="20" t="s">
        <v>307</v>
      </c>
      <c r="C142" s="6"/>
      <c r="D142" s="6"/>
      <c r="E142" s="20"/>
      <c r="F142" s="20"/>
      <c r="G142" s="20" t="s">
        <v>463</v>
      </c>
      <c r="H142" s="27"/>
      <c r="I142" s="20"/>
      <c r="J142" s="6"/>
      <c r="K142" s="6"/>
      <c r="L142" s="6"/>
      <c r="M142" s="6" t="s">
        <v>308</v>
      </c>
      <c r="N142" s="6"/>
      <c r="O142" s="20" t="s">
        <v>791</v>
      </c>
      <c r="P142" s="20" t="s">
        <v>297</v>
      </c>
      <c r="Q142" s="22" t="s">
        <v>309</v>
      </c>
      <c r="R142" s="6" t="s">
        <v>852</v>
      </c>
      <c r="S142" s="6"/>
    </row>
    <row r="143" ht="45" customHeight="1" spans="1:19" x14ac:dyDescent="0.25">
      <c r="A143" s="20" t="s">
        <v>243</v>
      </c>
      <c r="B143" s="20" t="s">
        <v>310</v>
      </c>
      <c r="C143" s="6"/>
      <c r="D143" s="6"/>
      <c r="E143" s="20"/>
      <c r="F143" s="20"/>
      <c r="G143" s="20" t="s">
        <v>463</v>
      </c>
      <c r="H143" s="27"/>
      <c r="I143" s="20"/>
      <c r="J143" s="6"/>
      <c r="K143" s="6"/>
      <c r="L143" s="6"/>
      <c r="M143" s="6" t="s">
        <v>311</v>
      </c>
      <c r="N143" s="6"/>
      <c r="O143" s="20" t="s">
        <v>791</v>
      </c>
      <c r="P143" s="20" t="s">
        <v>297</v>
      </c>
      <c r="Q143" s="22" t="s">
        <v>312</v>
      </c>
      <c r="R143" s="6" t="s">
        <v>853</v>
      </c>
      <c r="S143" s="6"/>
    </row>
    <row r="144" ht="45" customHeight="1" spans="1:19" x14ac:dyDescent="0.25">
      <c r="A144" s="20" t="s">
        <v>243</v>
      </c>
      <c r="B144" s="20" t="s">
        <v>313</v>
      </c>
      <c r="C144" s="6"/>
      <c r="D144" s="6"/>
      <c r="E144" s="20"/>
      <c r="F144" s="20"/>
      <c r="G144" s="20" t="s">
        <v>463</v>
      </c>
      <c r="H144" s="27"/>
      <c r="I144" s="20"/>
      <c r="J144" s="6"/>
      <c r="K144" s="6"/>
      <c r="L144" s="6"/>
      <c r="M144" s="6" t="s">
        <v>314</v>
      </c>
      <c r="N144" s="6"/>
      <c r="O144" s="20"/>
      <c r="P144" s="20" t="s">
        <v>297</v>
      </c>
      <c r="Q144" s="20"/>
      <c r="R144" s="6" t="s">
        <v>854</v>
      </c>
      <c r="S144" s="6"/>
    </row>
    <row r="145" ht="45" customHeight="1" spans="1:19" x14ac:dyDescent="0.25">
      <c r="A145" s="20" t="s">
        <v>243</v>
      </c>
      <c r="B145" s="20" t="s">
        <v>315</v>
      </c>
      <c r="C145" s="6" t="s">
        <v>855</v>
      </c>
      <c r="D145" s="6" t="s">
        <v>856</v>
      </c>
      <c r="E145" s="20">
        <v>3.5</v>
      </c>
      <c r="F145" s="20">
        <v>5</v>
      </c>
      <c r="G145" s="20" t="s">
        <v>667</v>
      </c>
      <c r="H145" s="27">
        <v>100</v>
      </c>
      <c r="I145" s="20" t="s">
        <v>668</v>
      </c>
      <c r="J145" s="6" t="s">
        <v>857</v>
      </c>
      <c r="K145" s="6" t="s">
        <v>858</v>
      </c>
      <c r="L145" s="6" t="s">
        <v>318</v>
      </c>
      <c r="M145" s="6" t="s">
        <v>319</v>
      </c>
      <c r="N145" s="6" t="s">
        <v>317</v>
      </c>
      <c r="O145" s="20" t="s">
        <v>859</v>
      </c>
      <c r="P145" s="20" t="s">
        <v>297</v>
      </c>
      <c r="Q145" s="22" t="s">
        <v>321</v>
      </c>
      <c r="R145" s="6" t="s">
        <v>860</v>
      </c>
      <c r="S145" s="6" t="s">
        <v>861</v>
      </c>
    </row>
    <row r="146" ht="45" customHeight="1" spans="1:19" x14ac:dyDescent="0.25">
      <c r="A146" s="20" t="s">
        <v>243</v>
      </c>
      <c r="B146" s="20" t="s">
        <v>315</v>
      </c>
      <c r="C146" s="6" t="s">
        <v>855</v>
      </c>
      <c r="D146" s="6" t="s">
        <v>862</v>
      </c>
      <c r="E146" s="20">
        <v>5</v>
      </c>
      <c r="F146" s="20">
        <v>7.5</v>
      </c>
      <c r="G146" s="20" t="s">
        <v>667</v>
      </c>
      <c r="H146" s="27">
        <v>200</v>
      </c>
      <c r="I146" s="20" t="s">
        <v>668</v>
      </c>
      <c r="J146" s="6" t="s">
        <v>857</v>
      </c>
      <c r="K146" s="6" t="s">
        <v>858</v>
      </c>
      <c r="L146" s="6" t="s">
        <v>318</v>
      </c>
      <c r="M146" s="6" t="s">
        <v>319</v>
      </c>
      <c r="N146" s="6" t="s">
        <v>317</v>
      </c>
      <c r="O146" s="20" t="s">
        <v>859</v>
      </c>
      <c r="P146" s="20" t="s">
        <v>297</v>
      </c>
      <c r="Q146" s="22" t="s">
        <v>321</v>
      </c>
      <c r="R146" s="6" t="s">
        <v>860</v>
      </c>
      <c r="S146" s="6" t="s">
        <v>861</v>
      </c>
    </row>
    <row r="147" ht="45" customHeight="1" spans="1:19" x14ac:dyDescent="0.25">
      <c r="A147" s="20" t="s">
        <v>243</v>
      </c>
      <c r="B147" s="20" t="s">
        <v>315</v>
      </c>
      <c r="C147" s="6" t="s">
        <v>855</v>
      </c>
      <c r="D147" s="6" t="s">
        <v>863</v>
      </c>
      <c r="E147" s="20">
        <v>7.5</v>
      </c>
      <c r="F147" s="20">
        <v>12.5</v>
      </c>
      <c r="G147" s="20" t="s">
        <v>667</v>
      </c>
      <c r="H147" s="27">
        <v>400</v>
      </c>
      <c r="I147" s="20" t="s">
        <v>668</v>
      </c>
      <c r="J147" s="6" t="s">
        <v>857</v>
      </c>
      <c r="K147" s="6" t="s">
        <v>858</v>
      </c>
      <c r="L147" s="6" t="s">
        <v>318</v>
      </c>
      <c r="M147" s="6" t="s">
        <v>319</v>
      </c>
      <c r="N147" s="6" t="s">
        <v>317</v>
      </c>
      <c r="O147" s="20" t="s">
        <v>859</v>
      </c>
      <c r="P147" s="20" t="s">
        <v>297</v>
      </c>
      <c r="Q147" s="22" t="s">
        <v>321</v>
      </c>
      <c r="R147" s="6" t="s">
        <v>860</v>
      </c>
      <c r="S147" s="6" t="s">
        <v>861</v>
      </c>
    </row>
    <row r="148" ht="45" customHeight="1" spans="1:19" x14ac:dyDescent="0.25">
      <c r="A148" s="20" t="s">
        <v>243</v>
      </c>
      <c r="B148" s="20" t="s">
        <v>315</v>
      </c>
      <c r="C148" s="6" t="s">
        <v>855</v>
      </c>
      <c r="D148" s="6" t="s">
        <v>864</v>
      </c>
      <c r="E148" s="20">
        <v>12.5</v>
      </c>
      <c r="F148" s="20">
        <v>16</v>
      </c>
      <c r="G148" s="20" t="s">
        <v>667</v>
      </c>
      <c r="H148" s="27">
        <v>800</v>
      </c>
      <c r="I148" s="20" t="s">
        <v>668</v>
      </c>
      <c r="J148" s="6" t="s">
        <v>857</v>
      </c>
      <c r="K148" s="6" t="s">
        <v>858</v>
      </c>
      <c r="L148" s="6" t="s">
        <v>318</v>
      </c>
      <c r="M148" s="6" t="s">
        <v>319</v>
      </c>
      <c r="N148" s="6" t="s">
        <v>317</v>
      </c>
      <c r="O148" s="20" t="s">
        <v>859</v>
      </c>
      <c r="P148" s="20" t="s">
        <v>297</v>
      </c>
      <c r="Q148" s="22" t="s">
        <v>321</v>
      </c>
      <c r="R148" s="6" t="s">
        <v>860</v>
      </c>
      <c r="S148" s="6" t="s">
        <v>861</v>
      </c>
    </row>
    <row r="149" ht="45" customHeight="1" spans="1:19" x14ac:dyDescent="0.25">
      <c r="A149" s="20" t="s">
        <v>243</v>
      </c>
      <c r="B149" s="20" t="s">
        <v>315</v>
      </c>
      <c r="C149" s="6" t="s">
        <v>855</v>
      </c>
      <c r="D149" s="6" t="s">
        <v>865</v>
      </c>
      <c r="E149" s="20">
        <v>16</v>
      </c>
      <c r="F149" s="20">
        <v>22</v>
      </c>
      <c r="G149" s="20" t="s">
        <v>667</v>
      </c>
      <c r="H149" s="27">
        <v>1200</v>
      </c>
      <c r="I149" s="20" t="s">
        <v>668</v>
      </c>
      <c r="J149" s="6" t="s">
        <v>857</v>
      </c>
      <c r="K149" s="6" t="s">
        <v>858</v>
      </c>
      <c r="L149" s="6" t="s">
        <v>318</v>
      </c>
      <c r="M149" s="6" t="s">
        <v>319</v>
      </c>
      <c r="N149" s="6" t="s">
        <v>317</v>
      </c>
      <c r="O149" s="20" t="s">
        <v>859</v>
      </c>
      <c r="P149" s="20" t="s">
        <v>297</v>
      </c>
      <c r="Q149" s="22" t="s">
        <v>321</v>
      </c>
      <c r="R149" s="6" t="s">
        <v>860</v>
      </c>
      <c r="S149" s="6" t="s">
        <v>861</v>
      </c>
    </row>
    <row r="150" ht="45" customHeight="1" spans="1:19" x14ac:dyDescent="0.25">
      <c r="A150" s="20" t="s">
        <v>243</v>
      </c>
      <c r="B150" s="20" t="s">
        <v>315</v>
      </c>
      <c r="C150" s="6" t="s">
        <v>855</v>
      </c>
      <c r="D150" s="6" t="s">
        <v>866</v>
      </c>
      <c r="E150" s="20">
        <v>22</v>
      </c>
      <c r="F150" s="20">
        <v>40</v>
      </c>
      <c r="G150" s="20" t="s">
        <v>667</v>
      </c>
      <c r="H150" s="27">
        <v>1600</v>
      </c>
      <c r="I150" s="20" t="s">
        <v>668</v>
      </c>
      <c r="J150" s="6" t="s">
        <v>857</v>
      </c>
      <c r="K150" s="6" t="s">
        <v>858</v>
      </c>
      <c r="L150" s="6" t="s">
        <v>318</v>
      </c>
      <c r="M150" s="6" t="s">
        <v>319</v>
      </c>
      <c r="N150" s="6" t="s">
        <v>317</v>
      </c>
      <c r="O150" s="20" t="s">
        <v>859</v>
      </c>
      <c r="P150" s="20" t="s">
        <v>297</v>
      </c>
      <c r="Q150" s="22" t="s">
        <v>321</v>
      </c>
      <c r="R150" s="6" t="s">
        <v>860</v>
      </c>
      <c r="S150" s="6" t="s">
        <v>861</v>
      </c>
    </row>
    <row r="151" ht="45" customHeight="1" spans="1:19" x14ac:dyDescent="0.25">
      <c r="A151" s="20" t="s">
        <v>243</v>
      </c>
      <c r="B151" s="20" t="s">
        <v>315</v>
      </c>
      <c r="C151" s="6" t="s">
        <v>855</v>
      </c>
      <c r="D151" s="6" t="s">
        <v>867</v>
      </c>
      <c r="E151" s="20">
        <v>40</v>
      </c>
      <c r="F151" s="20"/>
      <c r="G151" s="20" t="s">
        <v>667</v>
      </c>
      <c r="H151" s="27">
        <v>2000</v>
      </c>
      <c r="I151" s="20" t="s">
        <v>668</v>
      </c>
      <c r="J151" s="6" t="s">
        <v>857</v>
      </c>
      <c r="K151" s="6" t="s">
        <v>858</v>
      </c>
      <c r="L151" s="6" t="s">
        <v>318</v>
      </c>
      <c r="M151" s="6" t="s">
        <v>319</v>
      </c>
      <c r="N151" s="6" t="s">
        <v>317</v>
      </c>
      <c r="O151" s="20" t="s">
        <v>859</v>
      </c>
      <c r="P151" s="20" t="s">
        <v>297</v>
      </c>
      <c r="Q151" s="22" t="s">
        <v>321</v>
      </c>
      <c r="R151" s="6" t="s">
        <v>868</v>
      </c>
      <c r="S151" s="6" t="s">
        <v>861</v>
      </c>
    </row>
    <row r="152" ht="45" customHeight="1" spans="1:19" x14ac:dyDescent="0.25">
      <c r="A152" s="20" t="s">
        <v>243</v>
      </c>
      <c r="B152" s="20" t="s">
        <v>315</v>
      </c>
      <c r="C152" s="6" t="s">
        <v>855</v>
      </c>
      <c r="D152" s="6" t="s">
        <v>856</v>
      </c>
      <c r="E152" s="20">
        <v>3.5</v>
      </c>
      <c r="F152" s="20">
        <v>5</v>
      </c>
      <c r="G152" s="20" t="s">
        <v>674</v>
      </c>
      <c r="H152" s="27">
        <v>1000</v>
      </c>
      <c r="I152" s="20" t="s">
        <v>668</v>
      </c>
      <c r="J152" s="6" t="s">
        <v>857</v>
      </c>
      <c r="K152" s="6" t="s">
        <v>858</v>
      </c>
      <c r="L152" s="6" t="s">
        <v>318</v>
      </c>
      <c r="M152" s="6" t="s">
        <v>319</v>
      </c>
      <c r="N152" s="6" t="s">
        <v>317</v>
      </c>
      <c r="O152" s="20" t="s">
        <v>859</v>
      </c>
      <c r="P152" s="20" t="s">
        <v>297</v>
      </c>
      <c r="Q152" s="22" t="s">
        <v>321</v>
      </c>
      <c r="R152" s="6" t="s">
        <v>860</v>
      </c>
      <c r="S152" s="6" t="s">
        <v>861</v>
      </c>
    </row>
    <row r="153" ht="45" customHeight="1" spans="1:19" x14ac:dyDescent="0.25">
      <c r="A153" s="20" t="s">
        <v>243</v>
      </c>
      <c r="B153" s="20" t="s">
        <v>315</v>
      </c>
      <c r="C153" s="6" t="s">
        <v>855</v>
      </c>
      <c r="D153" s="6" t="s">
        <v>862</v>
      </c>
      <c r="E153" s="20">
        <v>5</v>
      </c>
      <c r="F153" s="20">
        <v>7.5</v>
      </c>
      <c r="G153" s="20" t="s">
        <v>674</v>
      </c>
      <c r="H153" s="27">
        <v>2000</v>
      </c>
      <c r="I153" s="20" t="s">
        <v>668</v>
      </c>
      <c r="J153" s="6" t="s">
        <v>857</v>
      </c>
      <c r="K153" s="6" t="s">
        <v>858</v>
      </c>
      <c r="L153" s="6" t="s">
        <v>318</v>
      </c>
      <c r="M153" s="6" t="s">
        <v>319</v>
      </c>
      <c r="N153" s="6" t="s">
        <v>317</v>
      </c>
      <c r="O153" s="20" t="s">
        <v>859</v>
      </c>
      <c r="P153" s="20" t="s">
        <v>297</v>
      </c>
      <c r="Q153" s="22" t="s">
        <v>321</v>
      </c>
      <c r="R153" s="6" t="s">
        <v>860</v>
      </c>
      <c r="S153" s="6" t="s">
        <v>861</v>
      </c>
    </row>
    <row r="154" ht="45" customHeight="1" spans="1:19" x14ac:dyDescent="0.25">
      <c r="A154" s="20" t="s">
        <v>243</v>
      </c>
      <c r="B154" s="20" t="s">
        <v>315</v>
      </c>
      <c r="C154" s="6" t="s">
        <v>855</v>
      </c>
      <c r="D154" s="6" t="s">
        <v>863</v>
      </c>
      <c r="E154" s="20">
        <v>7.5</v>
      </c>
      <c r="F154" s="20">
        <v>12.5</v>
      </c>
      <c r="G154" s="20" t="s">
        <v>674</v>
      </c>
      <c r="H154" s="27">
        <v>4000</v>
      </c>
      <c r="I154" s="20" t="s">
        <v>668</v>
      </c>
      <c r="J154" s="6" t="s">
        <v>857</v>
      </c>
      <c r="K154" s="6" t="s">
        <v>858</v>
      </c>
      <c r="L154" s="6" t="s">
        <v>318</v>
      </c>
      <c r="M154" s="6" t="s">
        <v>319</v>
      </c>
      <c r="N154" s="6" t="s">
        <v>317</v>
      </c>
      <c r="O154" s="20" t="s">
        <v>859</v>
      </c>
      <c r="P154" s="20" t="s">
        <v>297</v>
      </c>
      <c r="Q154" s="22" t="s">
        <v>321</v>
      </c>
      <c r="R154" s="6" t="s">
        <v>860</v>
      </c>
      <c r="S154" s="6" t="s">
        <v>861</v>
      </c>
    </row>
    <row r="155" ht="45" customHeight="1" spans="1:19" x14ac:dyDescent="0.25">
      <c r="A155" s="20" t="s">
        <v>243</v>
      </c>
      <c r="B155" s="20" t="s">
        <v>315</v>
      </c>
      <c r="C155" s="6" t="s">
        <v>855</v>
      </c>
      <c r="D155" s="6" t="s">
        <v>864</v>
      </c>
      <c r="E155" s="20">
        <v>12.5</v>
      </c>
      <c r="F155" s="20">
        <v>16</v>
      </c>
      <c r="G155" s="20" t="s">
        <v>674</v>
      </c>
      <c r="H155" s="27">
        <v>8000</v>
      </c>
      <c r="I155" s="20" t="s">
        <v>668</v>
      </c>
      <c r="J155" s="6" t="s">
        <v>857</v>
      </c>
      <c r="K155" s="6" t="s">
        <v>858</v>
      </c>
      <c r="L155" s="6" t="s">
        <v>318</v>
      </c>
      <c r="M155" s="6" t="s">
        <v>319</v>
      </c>
      <c r="N155" s="6" t="s">
        <v>317</v>
      </c>
      <c r="O155" s="20" t="s">
        <v>859</v>
      </c>
      <c r="P155" s="20" t="s">
        <v>297</v>
      </c>
      <c r="Q155" s="22" t="s">
        <v>321</v>
      </c>
      <c r="R155" s="6" t="s">
        <v>860</v>
      </c>
      <c r="S155" s="6" t="s">
        <v>861</v>
      </c>
    </row>
    <row r="156" ht="45" customHeight="1" spans="1:19" x14ac:dyDescent="0.25">
      <c r="A156" s="20" t="s">
        <v>243</v>
      </c>
      <c r="B156" s="20" t="s">
        <v>315</v>
      </c>
      <c r="C156" s="6" t="s">
        <v>855</v>
      </c>
      <c r="D156" s="6" t="s">
        <v>865</v>
      </c>
      <c r="E156" s="20">
        <v>16</v>
      </c>
      <c r="F156" s="20">
        <v>22</v>
      </c>
      <c r="G156" s="20" t="s">
        <v>674</v>
      </c>
      <c r="H156" s="27">
        <v>12000</v>
      </c>
      <c r="I156" s="20" t="s">
        <v>668</v>
      </c>
      <c r="J156" s="6" t="s">
        <v>857</v>
      </c>
      <c r="K156" s="6" t="s">
        <v>858</v>
      </c>
      <c r="L156" s="6" t="s">
        <v>318</v>
      </c>
      <c r="M156" s="6" t="s">
        <v>319</v>
      </c>
      <c r="N156" s="6" t="s">
        <v>317</v>
      </c>
      <c r="O156" s="20" t="s">
        <v>859</v>
      </c>
      <c r="P156" s="20" t="s">
        <v>297</v>
      </c>
      <c r="Q156" s="22" t="s">
        <v>321</v>
      </c>
      <c r="R156" s="6" t="s">
        <v>860</v>
      </c>
      <c r="S156" s="6" t="s">
        <v>861</v>
      </c>
    </row>
    <row r="157" ht="45" customHeight="1" spans="1:19" x14ac:dyDescent="0.25">
      <c r="A157" s="20" t="s">
        <v>243</v>
      </c>
      <c r="B157" s="20" t="s">
        <v>315</v>
      </c>
      <c r="C157" s="6" t="s">
        <v>855</v>
      </c>
      <c r="D157" s="6" t="s">
        <v>866</v>
      </c>
      <c r="E157" s="20">
        <v>22</v>
      </c>
      <c r="F157" s="20">
        <v>40</v>
      </c>
      <c r="G157" s="20" t="s">
        <v>674</v>
      </c>
      <c r="H157" s="27">
        <v>16000</v>
      </c>
      <c r="I157" s="20" t="s">
        <v>668</v>
      </c>
      <c r="J157" s="6" t="s">
        <v>857</v>
      </c>
      <c r="K157" s="6" t="s">
        <v>858</v>
      </c>
      <c r="L157" s="6" t="s">
        <v>318</v>
      </c>
      <c r="M157" s="6" t="s">
        <v>319</v>
      </c>
      <c r="N157" s="6" t="s">
        <v>317</v>
      </c>
      <c r="O157" s="20" t="s">
        <v>859</v>
      </c>
      <c r="P157" s="20" t="s">
        <v>297</v>
      </c>
      <c r="Q157" s="22" t="s">
        <v>321</v>
      </c>
      <c r="R157" s="6" t="s">
        <v>860</v>
      </c>
      <c r="S157" s="6" t="s">
        <v>861</v>
      </c>
    </row>
    <row r="158" ht="45" customHeight="1" spans="1:19" x14ac:dyDescent="0.25">
      <c r="A158" s="20" t="s">
        <v>243</v>
      </c>
      <c r="B158" s="20" t="s">
        <v>315</v>
      </c>
      <c r="C158" s="6" t="s">
        <v>855</v>
      </c>
      <c r="D158" s="6" t="s">
        <v>867</v>
      </c>
      <c r="E158" s="20">
        <v>40</v>
      </c>
      <c r="F158" s="20"/>
      <c r="G158" s="20" t="s">
        <v>674</v>
      </c>
      <c r="H158" s="27">
        <v>20000</v>
      </c>
      <c r="I158" s="20" t="s">
        <v>668</v>
      </c>
      <c r="J158" s="6" t="s">
        <v>857</v>
      </c>
      <c r="K158" s="6" t="s">
        <v>858</v>
      </c>
      <c r="L158" s="6" t="s">
        <v>318</v>
      </c>
      <c r="M158" s="6" t="s">
        <v>319</v>
      </c>
      <c r="N158" s="6" t="s">
        <v>317</v>
      </c>
      <c r="O158" s="20" t="s">
        <v>859</v>
      </c>
      <c r="P158" s="20" t="s">
        <v>297</v>
      </c>
      <c r="Q158" s="22" t="s">
        <v>321</v>
      </c>
      <c r="R158" s="6" t="s">
        <v>868</v>
      </c>
      <c r="S158" s="6" t="s">
        <v>861</v>
      </c>
    </row>
    <row r="159" ht="45" customHeight="1" spans="1:19" x14ac:dyDescent="0.25">
      <c r="A159" s="20" t="s">
        <v>243</v>
      </c>
      <c r="B159" s="20" t="s">
        <v>315</v>
      </c>
      <c r="C159" s="6" t="s">
        <v>855</v>
      </c>
      <c r="D159" s="6" t="s">
        <v>869</v>
      </c>
      <c r="E159" s="20">
        <v>3.5</v>
      </c>
      <c r="F159" s="20">
        <v>5</v>
      </c>
      <c r="G159" s="20" t="s">
        <v>667</v>
      </c>
      <c r="H159" s="27">
        <v>50</v>
      </c>
      <c r="I159" s="20" t="s">
        <v>668</v>
      </c>
      <c r="J159" s="6" t="s">
        <v>857</v>
      </c>
      <c r="K159" s="6" t="s">
        <v>870</v>
      </c>
      <c r="L159" s="6" t="s">
        <v>318</v>
      </c>
      <c r="M159" s="6" t="s">
        <v>319</v>
      </c>
      <c r="N159" s="6" t="s">
        <v>317</v>
      </c>
      <c r="O159" s="20" t="s">
        <v>859</v>
      </c>
      <c r="P159" s="20" t="s">
        <v>297</v>
      </c>
      <c r="Q159" s="22" t="s">
        <v>321</v>
      </c>
      <c r="R159" s="6" t="s">
        <v>860</v>
      </c>
      <c r="S159" s="6" t="s">
        <v>861</v>
      </c>
    </row>
    <row r="160" ht="45" customHeight="1" spans="1:19" x14ac:dyDescent="0.25">
      <c r="A160" s="20" t="s">
        <v>243</v>
      </c>
      <c r="B160" s="20" t="s">
        <v>315</v>
      </c>
      <c r="C160" s="6" t="s">
        <v>855</v>
      </c>
      <c r="D160" s="6" t="s">
        <v>871</v>
      </c>
      <c r="E160" s="20">
        <v>5</v>
      </c>
      <c r="F160" s="20">
        <v>7.5</v>
      </c>
      <c r="G160" s="20" t="s">
        <v>667</v>
      </c>
      <c r="H160" s="27">
        <v>100</v>
      </c>
      <c r="I160" s="20" t="s">
        <v>668</v>
      </c>
      <c r="J160" s="6" t="s">
        <v>857</v>
      </c>
      <c r="K160" s="6" t="s">
        <v>870</v>
      </c>
      <c r="L160" s="6" t="s">
        <v>318</v>
      </c>
      <c r="M160" s="6" t="s">
        <v>319</v>
      </c>
      <c r="N160" s="6" t="s">
        <v>317</v>
      </c>
      <c r="O160" s="20" t="s">
        <v>859</v>
      </c>
      <c r="P160" s="20" t="s">
        <v>297</v>
      </c>
      <c r="Q160" s="22" t="s">
        <v>321</v>
      </c>
      <c r="R160" s="6" t="s">
        <v>860</v>
      </c>
      <c r="S160" s="6" t="s">
        <v>861</v>
      </c>
    </row>
    <row r="161" ht="45" customHeight="1" spans="1:19" x14ac:dyDescent="0.25">
      <c r="A161" s="20" t="s">
        <v>243</v>
      </c>
      <c r="B161" s="20" t="s">
        <v>315</v>
      </c>
      <c r="C161" s="6" t="s">
        <v>855</v>
      </c>
      <c r="D161" s="6" t="s">
        <v>872</v>
      </c>
      <c r="E161" s="20">
        <v>7.5</v>
      </c>
      <c r="F161" s="20">
        <v>12.5</v>
      </c>
      <c r="G161" s="20" t="s">
        <v>667</v>
      </c>
      <c r="H161" s="27">
        <v>200</v>
      </c>
      <c r="I161" s="20" t="s">
        <v>668</v>
      </c>
      <c r="J161" s="6" t="s">
        <v>857</v>
      </c>
      <c r="K161" s="6" t="s">
        <v>870</v>
      </c>
      <c r="L161" s="6" t="s">
        <v>318</v>
      </c>
      <c r="M161" s="6" t="s">
        <v>319</v>
      </c>
      <c r="N161" s="6" t="s">
        <v>317</v>
      </c>
      <c r="O161" s="20" t="s">
        <v>859</v>
      </c>
      <c r="P161" s="20" t="s">
        <v>297</v>
      </c>
      <c r="Q161" s="22" t="s">
        <v>321</v>
      </c>
      <c r="R161" s="6" t="s">
        <v>860</v>
      </c>
      <c r="S161" s="6" t="s">
        <v>861</v>
      </c>
    </row>
    <row r="162" ht="45" customHeight="1" spans="1:19" x14ac:dyDescent="0.25">
      <c r="A162" s="20" t="s">
        <v>243</v>
      </c>
      <c r="B162" s="20" t="s">
        <v>315</v>
      </c>
      <c r="C162" s="6" t="s">
        <v>855</v>
      </c>
      <c r="D162" s="6" t="s">
        <v>873</v>
      </c>
      <c r="E162" s="20">
        <v>12.5</v>
      </c>
      <c r="F162" s="20">
        <v>16</v>
      </c>
      <c r="G162" s="20" t="s">
        <v>667</v>
      </c>
      <c r="H162" s="27">
        <v>400</v>
      </c>
      <c r="I162" s="20" t="s">
        <v>668</v>
      </c>
      <c r="J162" s="6" t="s">
        <v>857</v>
      </c>
      <c r="K162" s="6" t="s">
        <v>870</v>
      </c>
      <c r="L162" s="6" t="s">
        <v>318</v>
      </c>
      <c r="M162" s="6" t="s">
        <v>319</v>
      </c>
      <c r="N162" s="6" t="s">
        <v>317</v>
      </c>
      <c r="O162" s="20" t="s">
        <v>859</v>
      </c>
      <c r="P162" s="20" t="s">
        <v>297</v>
      </c>
      <c r="Q162" s="22" t="s">
        <v>321</v>
      </c>
      <c r="R162" s="6" t="s">
        <v>860</v>
      </c>
      <c r="S162" s="6" t="s">
        <v>861</v>
      </c>
    </row>
    <row r="163" ht="45" customHeight="1" spans="1:19" x14ac:dyDescent="0.25">
      <c r="A163" s="20" t="s">
        <v>243</v>
      </c>
      <c r="B163" s="20" t="s">
        <v>315</v>
      </c>
      <c r="C163" s="6" t="s">
        <v>855</v>
      </c>
      <c r="D163" s="6" t="s">
        <v>874</v>
      </c>
      <c r="E163" s="20">
        <v>16</v>
      </c>
      <c r="F163" s="20">
        <v>22</v>
      </c>
      <c r="G163" s="20" t="s">
        <v>667</v>
      </c>
      <c r="H163" s="27">
        <v>600</v>
      </c>
      <c r="I163" s="20" t="s">
        <v>668</v>
      </c>
      <c r="J163" s="6" t="s">
        <v>857</v>
      </c>
      <c r="K163" s="6" t="s">
        <v>870</v>
      </c>
      <c r="L163" s="6" t="s">
        <v>318</v>
      </c>
      <c r="M163" s="6" t="s">
        <v>319</v>
      </c>
      <c r="N163" s="6" t="s">
        <v>317</v>
      </c>
      <c r="O163" s="20" t="s">
        <v>859</v>
      </c>
      <c r="P163" s="20" t="s">
        <v>297</v>
      </c>
      <c r="Q163" s="22" t="s">
        <v>321</v>
      </c>
      <c r="R163" s="6" t="s">
        <v>860</v>
      </c>
      <c r="S163" s="6" t="s">
        <v>861</v>
      </c>
    </row>
    <row r="164" ht="45" customHeight="1" spans="1:19" x14ac:dyDescent="0.25">
      <c r="A164" s="20" t="s">
        <v>243</v>
      </c>
      <c r="B164" s="20" t="s">
        <v>315</v>
      </c>
      <c r="C164" s="6" t="s">
        <v>855</v>
      </c>
      <c r="D164" s="6" t="s">
        <v>875</v>
      </c>
      <c r="E164" s="20">
        <v>22</v>
      </c>
      <c r="F164" s="20">
        <v>40</v>
      </c>
      <c r="G164" s="20" t="s">
        <v>667</v>
      </c>
      <c r="H164" s="27">
        <v>800</v>
      </c>
      <c r="I164" s="20" t="s">
        <v>668</v>
      </c>
      <c r="J164" s="6" t="s">
        <v>857</v>
      </c>
      <c r="K164" s="6" t="s">
        <v>870</v>
      </c>
      <c r="L164" s="6" t="s">
        <v>318</v>
      </c>
      <c r="M164" s="6" t="s">
        <v>319</v>
      </c>
      <c r="N164" s="6" t="s">
        <v>317</v>
      </c>
      <c r="O164" s="20" t="s">
        <v>859</v>
      </c>
      <c r="P164" s="20" t="s">
        <v>297</v>
      </c>
      <c r="Q164" s="22" t="s">
        <v>321</v>
      </c>
      <c r="R164" s="6" t="s">
        <v>860</v>
      </c>
      <c r="S164" s="6" t="s">
        <v>861</v>
      </c>
    </row>
    <row r="165" ht="45" customHeight="1" spans="1:19" x14ac:dyDescent="0.25">
      <c r="A165" s="20" t="s">
        <v>243</v>
      </c>
      <c r="B165" s="20" t="s">
        <v>315</v>
      </c>
      <c r="C165" s="6" t="s">
        <v>855</v>
      </c>
      <c r="D165" s="6" t="s">
        <v>876</v>
      </c>
      <c r="E165" s="20">
        <v>40</v>
      </c>
      <c r="F165" s="20"/>
      <c r="G165" s="20" t="s">
        <v>667</v>
      </c>
      <c r="H165" s="27">
        <v>1000</v>
      </c>
      <c r="I165" s="20" t="s">
        <v>668</v>
      </c>
      <c r="J165" s="6" t="s">
        <v>857</v>
      </c>
      <c r="K165" s="6" t="s">
        <v>870</v>
      </c>
      <c r="L165" s="6" t="s">
        <v>318</v>
      </c>
      <c r="M165" s="6" t="s">
        <v>319</v>
      </c>
      <c r="N165" s="6" t="s">
        <v>317</v>
      </c>
      <c r="O165" s="20" t="s">
        <v>859</v>
      </c>
      <c r="P165" s="20" t="s">
        <v>297</v>
      </c>
      <c r="Q165" s="22" t="s">
        <v>321</v>
      </c>
      <c r="R165" s="6" t="s">
        <v>860</v>
      </c>
      <c r="S165" s="6" t="s">
        <v>861</v>
      </c>
    </row>
    <row r="166" ht="45" customHeight="1" spans="1:19" x14ac:dyDescent="0.25">
      <c r="A166" s="20" t="s">
        <v>243</v>
      </c>
      <c r="B166" s="20" t="s">
        <v>315</v>
      </c>
      <c r="C166" s="6" t="s">
        <v>855</v>
      </c>
      <c r="D166" s="6" t="s">
        <v>869</v>
      </c>
      <c r="E166" s="20">
        <v>3.5</v>
      </c>
      <c r="F166" s="20">
        <v>5</v>
      </c>
      <c r="G166" s="20" t="s">
        <v>674</v>
      </c>
      <c r="H166" s="27">
        <v>250</v>
      </c>
      <c r="I166" s="20" t="s">
        <v>668</v>
      </c>
      <c r="J166" s="6" t="s">
        <v>857</v>
      </c>
      <c r="K166" s="6" t="s">
        <v>870</v>
      </c>
      <c r="L166" s="6" t="s">
        <v>318</v>
      </c>
      <c r="M166" s="6" t="s">
        <v>319</v>
      </c>
      <c r="N166" s="6" t="s">
        <v>317</v>
      </c>
      <c r="O166" s="20" t="s">
        <v>859</v>
      </c>
      <c r="P166" s="20" t="s">
        <v>297</v>
      </c>
      <c r="Q166" s="22" t="s">
        <v>321</v>
      </c>
      <c r="R166" s="6" t="s">
        <v>860</v>
      </c>
      <c r="S166" s="6" t="s">
        <v>861</v>
      </c>
    </row>
    <row r="167" ht="45" customHeight="1" spans="1:19" x14ac:dyDescent="0.25">
      <c r="A167" s="20" t="s">
        <v>243</v>
      </c>
      <c r="B167" s="20" t="s">
        <v>315</v>
      </c>
      <c r="C167" s="6" t="s">
        <v>855</v>
      </c>
      <c r="D167" s="6" t="s">
        <v>871</v>
      </c>
      <c r="E167" s="20">
        <v>5</v>
      </c>
      <c r="F167" s="20">
        <v>7.5</v>
      </c>
      <c r="G167" s="20" t="s">
        <v>674</v>
      </c>
      <c r="H167" s="27">
        <v>500</v>
      </c>
      <c r="I167" s="20" t="s">
        <v>668</v>
      </c>
      <c r="J167" s="6" t="s">
        <v>857</v>
      </c>
      <c r="K167" s="6" t="s">
        <v>870</v>
      </c>
      <c r="L167" s="6" t="s">
        <v>318</v>
      </c>
      <c r="M167" s="6" t="s">
        <v>319</v>
      </c>
      <c r="N167" s="6" t="s">
        <v>317</v>
      </c>
      <c r="O167" s="20" t="s">
        <v>859</v>
      </c>
      <c r="P167" s="20" t="s">
        <v>297</v>
      </c>
      <c r="Q167" s="22" t="s">
        <v>321</v>
      </c>
      <c r="R167" s="6" t="s">
        <v>860</v>
      </c>
      <c r="S167" s="6" t="s">
        <v>861</v>
      </c>
    </row>
    <row r="168" ht="45" customHeight="1" spans="1:19" x14ac:dyDescent="0.25">
      <c r="A168" s="20" t="s">
        <v>243</v>
      </c>
      <c r="B168" s="20" t="s">
        <v>315</v>
      </c>
      <c r="C168" s="6" t="s">
        <v>855</v>
      </c>
      <c r="D168" s="6" t="s">
        <v>872</v>
      </c>
      <c r="E168" s="20">
        <v>7.5</v>
      </c>
      <c r="F168" s="20">
        <v>12.5</v>
      </c>
      <c r="G168" s="20" t="s">
        <v>674</v>
      </c>
      <c r="H168" s="27">
        <v>1000</v>
      </c>
      <c r="I168" s="20" t="s">
        <v>668</v>
      </c>
      <c r="J168" s="6" t="s">
        <v>857</v>
      </c>
      <c r="K168" s="6" t="s">
        <v>870</v>
      </c>
      <c r="L168" s="6" t="s">
        <v>318</v>
      </c>
      <c r="M168" s="6" t="s">
        <v>319</v>
      </c>
      <c r="N168" s="6" t="s">
        <v>317</v>
      </c>
      <c r="O168" s="20" t="s">
        <v>859</v>
      </c>
      <c r="P168" s="20" t="s">
        <v>297</v>
      </c>
      <c r="Q168" s="22" t="s">
        <v>321</v>
      </c>
      <c r="R168" s="6" t="s">
        <v>860</v>
      </c>
      <c r="S168" s="6" t="s">
        <v>861</v>
      </c>
    </row>
    <row r="169" ht="45" customHeight="1" spans="1:19" x14ac:dyDescent="0.25">
      <c r="A169" s="20" t="s">
        <v>243</v>
      </c>
      <c r="B169" s="20" t="s">
        <v>315</v>
      </c>
      <c r="C169" s="6" t="s">
        <v>855</v>
      </c>
      <c r="D169" s="6" t="s">
        <v>873</v>
      </c>
      <c r="E169" s="20">
        <v>12.5</v>
      </c>
      <c r="F169" s="20">
        <v>16</v>
      </c>
      <c r="G169" s="20" t="s">
        <v>674</v>
      </c>
      <c r="H169" s="27">
        <v>2000</v>
      </c>
      <c r="I169" s="20" t="s">
        <v>668</v>
      </c>
      <c r="J169" s="6" t="s">
        <v>857</v>
      </c>
      <c r="K169" s="6" t="s">
        <v>870</v>
      </c>
      <c r="L169" s="6" t="s">
        <v>318</v>
      </c>
      <c r="M169" s="6" t="s">
        <v>319</v>
      </c>
      <c r="N169" s="6" t="s">
        <v>317</v>
      </c>
      <c r="O169" s="20" t="s">
        <v>859</v>
      </c>
      <c r="P169" s="20" t="s">
        <v>297</v>
      </c>
      <c r="Q169" s="22" t="s">
        <v>321</v>
      </c>
      <c r="R169" s="6" t="s">
        <v>860</v>
      </c>
      <c r="S169" s="6" t="s">
        <v>861</v>
      </c>
    </row>
    <row r="170" ht="45" customHeight="1" spans="1:19" x14ac:dyDescent="0.25">
      <c r="A170" s="20" t="s">
        <v>243</v>
      </c>
      <c r="B170" s="20" t="s">
        <v>315</v>
      </c>
      <c r="C170" s="6" t="s">
        <v>855</v>
      </c>
      <c r="D170" s="6" t="s">
        <v>874</v>
      </c>
      <c r="E170" s="20">
        <v>16</v>
      </c>
      <c r="F170" s="20">
        <v>22</v>
      </c>
      <c r="G170" s="20" t="s">
        <v>674</v>
      </c>
      <c r="H170" s="27">
        <v>3000</v>
      </c>
      <c r="I170" s="20" t="s">
        <v>668</v>
      </c>
      <c r="J170" s="6" t="s">
        <v>857</v>
      </c>
      <c r="K170" s="6" t="s">
        <v>870</v>
      </c>
      <c r="L170" s="6" t="s">
        <v>318</v>
      </c>
      <c r="M170" s="6" t="s">
        <v>319</v>
      </c>
      <c r="N170" s="6" t="s">
        <v>317</v>
      </c>
      <c r="O170" s="20" t="s">
        <v>859</v>
      </c>
      <c r="P170" s="20" t="s">
        <v>297</v>
      </c>
      <c r="Q170" s="22" t="s">
        <v>321</v>
      </c>
      <c r="R170" s="6" t="s">
        <v>860</v>
      </c>
      <c r="S170" s="6" t="s">
        <v>861</v>
      </c>
    </row>
    <row r="171" ht="45" customHeight="1" spans="1:19" x14ac:dyDescent="0.25">
      <c r="A171" s="20" t="s">
        <v>243</v>
      </c>
      <c r="B171" s="20" t="s">
        <v>315</v>
      </c>
      <c r="C171" s="6" t="s">
        <v>855</v>
      </c>
      <c r="D171" s="6" t="s">
        <v>875</v>
      </c>
      <c r="E171" s="20">
        <v>22</v>
      </c>
      <c r="F171" s="20">
        <v>40</v>
      </c>
      <c r="G171" s="20" t="s">
        <v>674</v>
      </c>
      <c r="H171" s="27">
        <v>4000</v>
      </c>
      <c r="I171" s="20" t="s">
        <v>668</v>
      </c>
      <c r="J171" s="6" t="s">
        <v>857</v>
      </c>
      <c r="K171" s="6" t="s">
        <v>870</v>
      </c>
      <c r="L171" s="6" t="s">
        <v>318</v>
      </c>
      <c r="M171" s="6" t="s">
        <v>319</v>
      </c>
      <c r="N171" s="6" t="s">
        <v>317</v>
      </c>
      <c r="O171" s="20" t="s">
        <v>859</v>
      </c>
      <c r="P171" s="20" t="s">
        <v>297</v>
      </c>
      <c r="Q171" s="22" t="s">
        <v>321</v>
      </c>
      <c r="R171" s="6" t="s">
        <v>860</v>
      </c>
      <c r="S171" s="6" t="s">
        <v>861</v>
      </c>
    </row>
    <row r="172" ht="45" customHeight="1" spans="1:19" x14ac:dyDescent="0.25">
      <c r="A172" s="20" t="s">
        <v>243</v>
      </c>
      <c r="B172" s="20" t="s">
        <v>315</v>
      </c>
      <c r="C172" s="6" t="s">
        <v>855</v>
      </c>
      <c r="D172" s="6" t="s">
        <v>876</v>
      </c>
      <c r="E172" s="20">
        <v>40</v>
      </c>
      <c r="F172" s="20"/>
      <c r="G172" s="20" t="s">
        <v>674</v>
      </c>
      <c r="H172" s="27">
        <v>5000</v>
      </c>
      <c r="I172" s="20" t="s">
        <v>668</v>
      </c>
      <c r="J172" s="6" t="s">
        <v>857</v>
      </c>
      <c r="K172" s="6" t="s">
        <v>870</v>
      </c>
      <c r="L172" s="6" t="s">
        <v>318</v>
      </c>
      <c r="M172" s="6" t="s">
        <v>319</v>
      </c>
      <c r="N172" s="6" t="s">
        <v>317</v>
      </c>
      <c r="O172" s="20" t="s">
        <v>859</v>
      </c>
      <c r="P172" s="20" t="s">
        <v>297</v>
      </c>
      <c r="Q172" s="22" t="s">
        <v>321</v>
      </c>
      <c r="R172" s="6" t="s">
        <v>860</v>
      </c>
      <c r="S172" s="6" t="s">
        <v>861</v>
      </c>
    </row>
    <row r="173" ht="45" customHeight="1" spans="1:19" x14ac:dyDescent="0.25">
      <c r="A173" s="20" t="s">
        <v>243</v>
      </c>
      <c r="B173" s="20" t="s">
        <v>315</v>
      </c>
      <c r="C173" s="6" t="s">
        <v>855</v>
      </c>
      <c r="D173" s="6" t="s">
        <v>869</v>
      </c>
      <c r="E173" s="20">
        <v>3.5</v>
      </c>
      <c r="F173" s="20">
        <v>5</v>
      </c>
      <c r="G173" s="20" t="s">
        <v>735</v>
      </c>
      <c r="H173" s="27">
        <v>3000</v>
      </c>
      <c r="I173" s="20" t="s">
        <v>668</v>
      </c>
      <c r="J173" s="6" t="s">
        <v>857</v>
      </c>
      <c r="K173" s="6" t="s">
        <v>870</v>
      </c>
      <c r="L173" s="6" t="s">
        <v>318</v>
      </c>
      <c r="M173" s="6" t="s">
        <v>319</v>
      </c>
      <c r="N173" s="6" t="s">
        <v>317</v>
      </c>
      <c r="O173" s="20" t="s">
        <v>859</v>
      </c>
      <c r="P173" s="20" t="s">
        <v>297</v>
      </c>
      <c r="Q173" s="22" t="s">
        <v>321</v>
      </c>
      <c r="R173" s="6" t="s">
        <v>860</v>
      </c>
      <c r="S173" s="6" t="s">
        <v>861</v>
      </c>
    </row>
    <row r="174" ht="45" customHeight="1" spans="1:19" x14ac:dyDescent="0.25">
      <c r="A174" s="20" t="s">
        <v>243</v>
      </c>
      <c r="B174" s="20" t="s">
        <v>315</v>
      </c>
      <c r="C174" s="6" t="s">
        <v>855</v>
      </c>
      <c r="D174" s="6" t="s">
        <v>871</v>
      </c>
      <c r="E174" s="20">
        <v>5</v>
      </c>
      <c r="F174" s="20">
        <v>7.5</v>
      </c>
      <c r="G174" s="20" t="s">
        <v>735</v>
      </c>
      <c r="H174" s="27">
        <v>6000</v>
      </c>
      <c r="I174" s="20" t="s">
        <v>668</v>
      </c>
      <c r="J174" s="6" t="s">
        <v>857</v>
      </c>
      <c r="K174" s="6" t="s">
        <v>870</v>
      </c>
      <c r="L174" s="6" t="s">
        <v>318</v>
      </c>
      <c r="M174" s="6" t="s">
        <v>319</v>
      </c>
      <c r="N174" s="6" t="s">
        <v>317</v>
      </c>
      <c r="O174" s="20" t="s">
        <v>859</v>
      </c>
      <c r="P174" s="20" t="s">
        <v>297</v>
      </c>
      <c r="Q174" s="22" t="s">
        <v>321</v>
      </c>
      <c r="R174" s="6" t="s">
        <v>860</v>
      </c>
      <c r="S174" s="6" t="s">
        <v>861</v>
      </c>
    </row>
    <row r="175" ht="45" customHeight="1" spans="1:19" x14ac:dyDescent="0.25">
      <c r="A175" s="20" t="s">
        <v>243</v>
      </c>
      <c r="B175" s="20" t="s">
        <v>315</v>
      </c>
      <c r="C175" s="6" t="s">
        <v>855</v>
      </c>
      <c r="D175" s="6" t="s">
        <v>872</v>
      </c>
      <c r="E175" s="20">
        <v>7.5</v>
      </c>
      <c r="F175" s="20">
        <v>12.5</v>
      </c>
      <c r="G175" s="20" t="s">
        <v>735</v>
      </c>
      <c r="H175" s="27">
        <v>12000</v>
      </c>
      <c r="I175" s="20" t="s">
        <v>668</v>
      </c>
      <c r="J175" s="6" t="s">
        <v>857</v>
      </c>
      <c r="K175" s="6" t="s">
        <v>870</v>
      </c>
      <c r="L175" s="6" t="s">
        <v>318</v>
      </c>
      <c r="M175" s="6" t="s">
        <v>319</v>
      </c>
      <c r="N175" s="6" t="s">
        <v>317</v>
      </c>
      <c r="O175" s="20" t="s">
        <v>859</v>
      </c>
      <c r="P175" s="20" t="s">
        <v>297</v>
      </c>
      <c r="Q175" s="22" t="s">
        <v>321</v>
      </c>
      <c r="R175" s="6" t="s">
        <v>860</v>
      </c>
      <c r="S175" s="6" t="s">
        <v>861</v>
      </c>
    </row>
    <row r="176" ht="45" customHeight="1" spans="1:19" x14ac:dyDescent="0.25">
      <c r="A176" s="20" t="s">
        <v>243</v>
      </c>
      <c r="B176" s="20" t="s">
        <v>315</v>
      </c>
      <c r="C176" s="6" t="s">
        <v>855</v>
      </c>
      <c r="D176" s="6" t="s">
        <v>873</v>
      </c>
      <c r="E176" s="20">
        <v>12.5</v>
      </c>
      <c r="F176" s="20">
        <v>16</v>
      </c>
      <c r="G176" s="20" t="s">
        <v>735</v>
      </c>
      <c r="H176" s="27">
        <v>24000</v>
      </c>
      <c r="I176" s="20" t="s">
        <v>668</v>
      </c>
      <c r="J176" s="6" t="s">
        <v>857</v>
      </c>
      <c r="K176" s="6" t="s">
        <v>870</v>
      </c>
      <c r="L176" s="6" t="s">
        <v>318</v>
      </c>
      <c r="M176" s="6" t="s">
        <v>319</v>
      </c>
      <c r="N176" s="6" t="s">
        <v>317</v>
      </c>
      <c r="O176" s="20" t="s">
        <v>859</v>
      </c>
      <c r="P176" s="20" t="s">
        <v>297</v>
      </c>
      <c r="Q176" s="22" t="s">
        <v>321</v>
      </c>
      <c r="R176" s="6" t="s">
        <v>860</v>
      </c>
      <c r="S176" s="6" t="s">
        <v>861</v>
      </c>
    </row>
    <row r="177" ht="45" customHeight="1" spans="1:19" x14ac:dyDescent="0.25">
      <c r="A177" s="20" t="s">
        <v>243</v>
      </c>
      <c r="B177" s="20" t="s">
        <v>315</v>
      </c>
      <c r="C177" s="6" t="s">
        <v>855</v>
      </c>
      <c r="D177" s="6" t="s">
        <v>874</v>
      </c>
      <c r="E177" s="20">
        <v>16</v>
      </c>
      <c r="F177" s="20">
        <v>22</v>
      </c>
      <c r="G177" s="20" t="s">
        <v>735</v>
      </c>
      <c r="H177" s="27">
        <v>36000</v>
      </c>
      <c r="I177" s="20" t="s">
        <v>668</v>
      </c>
      <c r="J177" s="6" t="s">
        <v>857</v>
      </c>
      <c r="K177" s="6" t="s">
        <v>870</v>
      </c>
      <c r="L177" s="6" t="s">
        <v>318</v>
      </c>
      <c r="M177" s="6" t="s">
        <v>319</v>
      </c>
      <c r="N177" s="6" t="s">
        <v>317</v>
      </c>
      <c r="O177" s="20" t="s">
        <v>859</v>
      </c>
      <c r="P177" s="20" t="s">
        <v>297</v>
      </c>
      <c r="Q177" s="22" t="s">
        <v>321</v>
      </c>
      <c r="R177" s="6" t="s">
        <v>860</v>
      </c>
      <c r="S177" s="6" t="s">
        <v>861</v>
      </c>
    </row>
    <row r="178" ht="45" customHeight="1" spans="1:19" x14ac:dyDescent="0.25">
      <c r="A178" s="20" t="s">
        <v>243</v>
      </c>
      <c r="B178" s="20" t="s">
        <v>315</v>
      </c>
      <c r="C178" s="6" t="s">
        <v>855</v>
      </c>
      <c r="D178" s="6" t="s">
        <v>875</v>
      </c>
      <c r="E178" s="20">
        <v>22</v>
      </c>
      <c r="F178" s="20">
        <v>40</v>
      </c>
      <c r="G178" s="20" t="s">
        <v>735</v>
      </c>
      <c r="H178" s="27">
        <v>48000</v>
      </c>
      <c r="I178" s="20" t="s">
        <v>668</v>
      </c>
      <c r="J178" s="6" t="s">
        <v>857</v>
      </c>
      <c r="K178" s="6" t="s">
        <v>870</v>
      </c>
      <c r="L178" s="6" t="s">
        <v>318</v>
      </c>
      <c r="M178" s="6" t="s">
        <v>319</v>
      </c>
      <c r="N178" s="6" t="s">
        <v>317</v>
      </c>
      <c r="O178" s="20" t="s">
        <v>859</v>
      </c>
      <c r="P178" s="20" t="s">
        <v>297</v>
      </c>
      <c r="Q178" s="22" t="s">
        <v>321</v>
      </c>
      <c r="R178" s="6" t="s">
        <v>860</v>
      </c>
      <c r="S178" s="6" t="s">
        <v>861</v>
      </c>
    </row>
    <row r="179" ht="45" customHeight="1" spans="1:19" x14ac:dyDescent="0.25">
      <c r="A179" s="20" t="s">
        <v>243</v>
      </c>
      <c r="B179" s="20" t="s">
        <v>315</v>
      </c>
      <c r="C179" s="6" t="s">
        <v>855</v>
      </c>
      <c r="D179" s="6" t="s">
        <v>876</v>
      </c>
      <c r="E179" s="20">
        <v>40</v>
      </c>
      <c r="F179" s="20"/>
      <c r="G179" s="20" t="s">
        <v>735</v>
      </c>
      <c r="H179" s="27">
        <v>60000</v>
      </c>
      <c r="I179" s="20" t="s">
        <v>668</v>
      </c>
      <c r="J179" s="6" t="s">
        <v>857</v>
      </c>
      <c r="K179" s="6" t="s">
        <v>870</v>
      </c>
      <c r="L179" s="6" t="s">
        <v>318</v>
      </c>
      <c r="M179" s="6" t="s">
        <v>319</v>
      </c>
      <c r="N179" s="6" t="s">
        <v>317</v>
      </c>
      <c r="O179" s="20" t="s">
        <v>859</v>
      </c>
      <c r="P179" s="20" t="s">
        <v>297</v>
      </c>
      <c r="Q179" s="22" t="s">
        <v>321</v>
      </c>
      <c r="R179" s="6" t="s">
        <v>860</v>
      </c>
      <c r="S179" s="6" t="s">
        <v>861</v>
      </c>
    </row>
    <row r="180" ht="45" customHeight="1" spans="1:19" x14ac:dyDescent="0.25">
      <c r="A180" s="20" t="s">
        <v>243</v>
      </c>
      <c r="B180" s="20" t="s">
        <v>315</v>
      </c>
      <c r="C180" s="6" t="s">
        <v>877</v>
      </c>
      <c r="D180" s="6" t="s">
        <v>878</v>
      </c>
      <c r="E180" s="20">
        <v>5</v>
      </c>
      <c r="F180" s="20"/>
      <c r="G180" s="20" t="s">
        <v>667</v>
      </c>
      <c r="H180" s="27"/>
      <c r="I180" s="20" t="s">
        <v>668</v>
      </c>
      <c r="J180" s="6"/>
      <c r="K180" s="6" t="s">
        <v>879</v>
      </c>
      <c r="L180" s="6" t="s">
        <v>880</v>
      </c>
      <c r="M180" s="6" t="s">
        <v>319</v>
      </c>
      <c r="N180" s="6" t="s">
        <v>881</v>
      </c>
      <c r="O180" s="20" t="s">
        <v>882</v>
      </c>
      <c r="P180" s="20" t="s">
        <v>297</v>
      </c>
      <c r="Q180" s="22" t="s">
        <v>883</v>
      </c>
      <c r="R180" s="6" t="s">
        <v>884</v>
      </c>
      <c r="S180" s="6" t="s">
        <v>885</v>
      </c>
    </row>
    <row r="181" ht="45" customHeight="1" spans="1:19" x14ac:dyDescent="0.25">
      <c r="A181" s="20" t="s">
        <v>243</v>
      </c>
      <c r="B181" s="20" t="s">
        <v>322</v>
      </c>
      <c r="C181" s="6"/>
      <c r="D181" s="6"/>
      <c r="E181" s="20"/>
      <c r="F181" s="20"/>
      <c r="G181" s="20" t="s">
        <v>463</v>
      </c>
      <c r="H181" s="27"/>
      <c r="I181" s="20"/>
      <c r="J181" s="6"/>
      <c r="K181" s="6"/>
      <c r="L181" s="6"/>
      <c r="M181" s="6" t="s">
        <v>323</v>
      </c>
      <c r="N181" s="6"/>
      <c r="O181" s="20" t="s">
        <v>791</v>
      </c>
      <c r="P181" s="20" t="s">
        <v>297</v>
      </c>
      <c r="Q181" s="22" t="s">
        <v>324</v>
      </c>
      <c r="R181" s="6" t="s">
        <v>886</v>
      </c>
      <c r="S181" s="6"/>
    </row>
    <row r="182" ht="45" customHeight="1" spans="1:19" x14ac:dyDescent="0.25">
      <c r="A182" s="20" t="s">
        <v>243</v>
      </c>
      <c r="B182" s="20" t="s">
        <v>325</v>
      </c>
      <c r="C182" s="6"/>
      <c r="D182" s="6"/>
      <c r="E182" s="20"/>
      <c r="F182" s="20"/>
      <c r="G182" s="20" t="s">
        <v>463</v>
      </c>
      <c r="H182" s="27"/>
      <c r="I182" s="20"/>
      <c r="J182" s="6"/>
      <c r="K182" s="6"/>
      <c r="L182" s="6"/>
      <c r="M182" s="6"/>
      <c r="N182" s="6"/>
      <c r="O182" s="20" t="s">
        <v>787</v>
      </c>
      <c r="P182" s="20" t="s">
        <v>297</v>
      </c>
      <c r="Q182" s="20"/>
      <c r="R182" s="6" t="s">
        <v>887</v>
      </c>
      <c r="S182" s="6"/>
    </row>
    <row r="183" ht="45" customHeight="1" spans="1:19" x14ac:dyDescent="0.25">
      <c r="A183" s="20" t="s">
        <v>243</v>
      </c>
      <c r="B183" s="20" t="s">
        <v>326</v>
      </c>
      <c r="C183" s="6"/>
      <c r="D183" s="6"/>
      <c r="E183" s="20"/>
      <c r="F183" s="20"/>
      <c r="G183" s="20" t="s">
        <v>463</v>
      </c>
      <c r="H183" s="27"/>
      <c r="I183" s="20"/>
      <c r="J183" s="6"/>
      <c r="K183" s="6"/>
      <c r="L183" s="6"/>
      <c r="M183" s="6" t="s">
        <v>327</v>
      </c>
      <c r="N183" s="6"/>
      <c r="O183" s="20" t="s">
        <v>787</v>
      </c>
      <c r="P183" s="20" t="s">
        <v>297</v>
      </c>
      <c r="Q183" s="22" t="s">
        <v>328</v>
      </c>
      <c r="R183" s="6" t="s">
        <v>888</v>
      </c>
      <c r="S183" s="6"/>
    </row>
    <row r="184" ht="45" customHeight="1" spans="1:19" x14ac:dyDescent="0.25">
      <c r="A184" s="20" t="s">
        <v>243</v>
      </c>
      <c r="B184" s="20" t="s">
        <v>329</v>
      </c>
      <c r="C184" s="6"/>
      <c r="D184" s="6"/>
      <c r="E184" s="20"/>
      <c r="F184" s="20"/>
      <c r="G184" s="20" t="s">
        <v>463</v>
      </c>
      <c r="H184" s="27"/>
      <c r="I184" s="20"/>
      <c r="J184" s="6"/>
      <c r="K184" s="6"/>
      <c r="L184" s="6"/>
      <c r="M184" s="6" t="s">
        <v>331</v>
      </c>
      <c r="N184" s="6" t="s">
        <v>330</v>
      </c>
      <c r="O184" s="20" t="s">
        <v>889</v>
      </c>
      <c r="P184" s="20" t="s">
        <v>297</v>
      </c>
      <c r="Q184" s="22" t="s">
        <v>332</v>
      </c>
      <c r="R184" s="6" t="s">
        <v>890</v>
      </c>
      <c r="S184" s="6"/>
    </row>
    <row r="185" ht="45" customHeight="1" spans="1:19" x14ac:dyDescent="0.25">
      <c r="A185" s="20" t="s">
        <v>243</v>
      </c>
      <c r="B185" s="20" t="s">
        <v>333</v>
      </c>
      <c r="C185" s="6"/>
      <c r="D185" s="6"/>
      <c r="E185" s="20"/>
      <c r="F185" s="20"/>
      <c r="G185" s="20" t="s">
        <v>463</v>
      </c>
      <c r="H185" s="27"/>
      <c r="I185" s="20"/>
      <c r="J185" s="6"/>
      <c r="K185" s="6"/>
      <c r="L185" s="6"/>
      <c r="M185" s="6" t="s">
        <v>335</v>
      </c>
      <c r="N185" s="6" t="s">
        <v>334</v>
      </c>
      <c r="O185" s="20" t="s">
        <v>776</v>
      </c>
      <c r="P185" s="20" t="s">
        <v>297</v>
      </c>
      <c r="Q185" s="22" t="s">
        <v>337</v>
      </c>
      <c r="R185" s="6" t="s">
        <v>891</v>
      </c>
      <c r="S185" s="6"/>
    </row>
    <row r="186" ht="45" customHeight="1" spans="1:19" x14ac:dyDescent="0.25">
      <c r="A186" s="20" t="s">
        <v>243</v>
      </c>
      <c r="B186" s="20" t="s">
        <v>338</v>
      </c>
      <c r="C186" s="6"/>
      <c r="D186" s="6"/>
      <c r="E186" s="20"/>
      <c r="F186" s="20"/>
      <c r="G186" s="20" t="s">
        <v>463</v>
      </c>
      <c r="H186" s="27"/>
      <c r="I186" s="20"/>
      <c r="J186" s="6"/>
      <c r="K186" s="6"/>
      <c r="L186" s="6"/>
      <c r="M186" s="6" t="s">
        <v>339</v>
      </c>
      <c r="N186" s="6"/>
      <c r="O186" s="20" t="s">
        <v>791</v>
      </c>
      <c r="P186" s="20" t="s">
        <v>297</v>
      </c>
      <c r="Q186" s="22" t="s">
        <v>340</v>
      </c>
      <c r="R186" s="6" t="s">
        <v>892</v>
      </c>
      <c r="S186" s="6"/>
    </row>
    <row r="187" ht="45" customHeight="1" spans="1:19" x14ac:dyDescent="0.25">
      <c r="A187" s="20" t="s">
        <v>243</v>
      </c>
      <c r="B187" s="20" t="s">
        <v>341</v>
      </c>
      <c r="C187" s="6"/>
      <c r="D187" s="6"/>
      <c r="E187" s="20"/>
      <c r="F187" s="20"/>
      <c r="G187" s="20" t="s">
        <v>463</v>
      </c>
      <c r="H187" s="27"/>
      <c r="I187" s="20"/>
      <c r="J187" s="6"/>
      <c r="K187" s="6"/>
      <c r="L187" s="6"/>
      <c r="M187" s="6" t="s">
        <v>342</v>
      </c>
      <c r="N187" s="6"/>
      <c r="O187" s="20" t="s">
        <v>791</v>
      </c>
      <c r="P187" s="20" t="s">
        <v>297</v>
      </c>
      <c r="Q187" s="22" t="s">
        <v>343</v>
      </c>
      <c r="R187" s="6" t="s">
        <v>893</v>
      </c>
      <c r="S187" s="6"/>
    </row>
    <row r="188" ht="45" customHeight="1" spans="1:19" x14ac:dyDescent="0.25">
      <c r="A188" s="20" t="s">
        <v>243</v>
      </c>
      <c r="B188" s="20" t="s">
        <v>344</v>
      </c>
      <c r="C188" s="6"/>
      <c r="D188" s="6"/>
      <c r="E188" s="20"/>
      <c r="F188" s="20"/>
      <c r="G188" s="20" t="s">
        <v>463</v>
      </c>
      <c r="H188" s="27"/>
      <c r="I188" s="20"/>
      <c r="J188" s="6"/>
      <c r="K188" s="6"/>
      <c r="L188" s="6"/>
      <c r="M188" s="6" t="s">
        <v>345</v>
      </c>
      <c r="N188" s="6"/>
      <c r="O188" s="20" t="s">
        <v>787</v>
      </c>
      <c r="P188" s="20" t="s">
        <v>297</v>
      </c>
      <c r="Q188" s="22" t="s">
        <v>346</v>
      </c>
      <c r="R188" s="6" t="s">
        <v>894</v>
      </c>
      <c r="S188" s="6"/>
    </row>
    <row r="189" ht="45" customHeight="1" spans="1:19" x14ac:dyDescent="0.25">
      <c r="A189" s="20" t="s">
        <v>243</v>
      </c>
      <c r="B189" s="20" t="s">
        <v>347</v>
      </c>
      <c r="C189" s="6"/>
      <c r="D189" s="6"/>
      <c r="E189" s="20"/>
      <c r="F189" s="20"/>
      <c r="G189" s="20" t="s">
        <v>463</v>
      </c>
      <c r="H189" s="27"/>
      <c r="I189" s="20"/>
      <c r="J189" s="6"/>
      <c r="K189" s="6"/>
      <c r="L189" s="6"/>
      <c r="M189" s="6"/>
      <c r="N189" s="6"/>
      <c r="O189" s="20" t="s">
        <v>787</v>
      </c>
      <c r="P189" s="20" t="s">
        <v>297</v>
      </c>
      <c r="Q189" s="20"/>
      <c r="R189" s="6" t="s">
        <v>895</v>
      </c>
      <c r="S189" s="6"/>
    </row>
    <row r="190" ht="45" customHeight="1" spans="1:19" x14ac:dyDescent="0.25">
      <c r="A190" s="20" t="s">
        <v>243</v>
      </c>
      <c r="B190" s="20" t="s">
        <v>348</v>
      </c>
      <c r="C190" s="6"/>
      <c r="D190" s="6"/>
      <c r="E190" s="20"/>
      <c r="F190" s="20"/>
      <c r="G190" s="20" t="s">
        <v>463</v>
      </c>
      <c r="H190" s="27"/>
      <c r="I190" s="20"/>
      <c r="J190" s="6"/>
      <c r="K190" s="6"/>
      <c r="L190" s="6"/>
      <c r="M190" s="6"/>
      <c r="N190" s="6"/>
      <c r="O190" s="20" t="s">
        <v>787</v>
      </c>
      <c r="P190" s="20" t="s">
        <v>297</v>
      </c>
      <c r="Q190" s="20"/>
      <c r="R190" s="6" t="s">
        <v>896</v>
      </c>
      <c r="S190" s="6"/>
    </row>
    <row r="191" ht="45" customHeight="1" spans="1:19" x14ac:dyDescent="0.25">
      <c r="A191" s="20" t="s">
        <v>243</v>
      </c>
      <c r="B191" s="20" t="s">
        <v>349</v>
      </c>
      <c r="C191" s="6" t="s">
        <v>897</v>
      </c>
      <c r="D191" s="6" t="s">
        <v>898</v>
      </c>
      <c r="E191" s="20">
        <v>7.5</v>
      </c>
      <c r="F191" s="20"/>
      <c r="G191" s="20" t="s">
        <v>463</v>
      </c>
      <c r="H191" s="27"/>
      <c r="I191" s="20"/>
      <c r="J191" s="6"/>
      <c r="K191" s="6"/>
      <c r="L191" s="6" t="s">
        <v>351</v>
      </c>
      <c r="M191" s="6" t="s">
        <v>352</v>
      </c>
      <c r="N191" s="6" t="s">
        <v>350</v>
      </c>
      <c r="O191" s="20" t="s">
        <v>899</v>
      </c>
      <c r="P191" s="20" t="s">
        <v>269</v>
      </c>
      <c r="Q191" s="22" t="s">
        <v>354</v>
      </c>
      <c r="R191" s="6" t="s">
        <v>900</v>
      </c>
      <c r="S191" s="6" t="s">
        <v>901</v>
      </c>
    </row>
    <row r="192" ht="45" customHeight="1" spans="1:19" x14ac:dyDescent="0.25">
      <c r="A192" s="20" t="s">
        <v>243</v>
      </c>
      <c r="B192" s="20" t="s">
        <v>349</v>
      </c>
      <c r="C192" s="6" t="s">
        <v>902</v>
      </c>
      <c r="D192" s="6" t="s">
        <v>903</v>
      </c>
      <c r="E192" s="20">
        <v>3.5</v>
      </c>
      <c r="F192" s="20"/>
      <c r="G192" s="20" t="s">
        <v>463</v>
      </c>
      <c r="H192" s="27"/>
      <c r="I192" s="20"/>
      <c r="J192" s="6"/>
      <c r="K192" s="6"/>
      <c r="L192" s="6" t="s">
        <v>351</v>
      </c>
      <c r="M192" s="6" t="s">
        <v>352</v>
      </c>
      <c r="N192" s="6" t="s">
        <v>904</v>
      </c>
      <c r="O192" s="20" t="s">
        <v>899</v>
      </c>
      <c r="P192" s="20" t="s">
        <v>269</v>
      </c>
      <c r="Q192" s="22" t="s">
        <v>354</v>
      </c>
      <c r="R192" s="6" t="s">
        <v>905</v>
      </c>
      <c r="S192" s="6" t="s">
        <v>906</v>
      </c>
    </row>
    <row r="193" ht="45" customHeight="1" spans="1:19" x14ac:dyDescent="0.25">
      <c r="A193" s="20" t="s">
        <v>243</v>
      </c>
      <c r="B193" s="20" t="s">
        <v>355</v>
      </c>
      <c r="C193" s="6"/>
      <c r="D193" s="6"/>
      <c r="E193" s="20"/>
      <c r="F193" s="20"/>
      <c r="G193" s="20" t="s">
        <v>463</v>
      </c>
      <c r="H193" s="27"/>
      <c r="I193" s="20"/>
      <c r="J193" s="6"/>
      <c r="K193" s="6"/>
      <c r="L193" s="6"/>
      <c r="M193" s="6"/>
      <c r="N193" s="6"/>
      <c r="O193" s="20" t="s">
        <v>787</v>
      </c>
      <c r="P193" s="20" t="s">
        <v>297</v>
      </c>
      <c r="Q193" s="20"/>
      <c r="R193" s="6" t="s">
        <v>907</v>
      </c>
      <c r="S193" s="6"/>
    </row>
    <row r="194" ht="45" customHeight="1" spans="1:19" x14ac:dyDescent="0.25">
      <c r="A194" s="20" t="s">
        <v>243</v>
      </c>
      <c r="B194" s="20" t="s">
        <v>356</v>
      </c>
      <c r="C194" s="6"/>
      <c r="D194" s="6"/>
      <c r="E194" s="20"/>
      <c r="F194" s="20"/>
      <c r="G194" s="20" t="s">
        <v>463</v>
      </c>
      <c r="H194" s="27"/>
      <c r="I194" s="20"/>
      <c r="J194" s="6"/>
      <c r="K194" s="6"/>
      <c r="L194" s="6"/>
      <c r="M194" s="6"/>
      <c r="N194" s="6"/>
      <c r="O194" s="20" t="s">
        <v>787</v>
      </c>
      <c r="P194" s="20" t="s">
        <v>297</v>
      </c>
      <c r="Q194" s="22" t="s">
        <v>358</v>
      </c>
      <c r="R194" s="6" t="s">
        <v>908</v>
      </c>
      <c r="S194" s="6"/>
    </row>
    <row r="195" ht="45" customHeight="1" spans="1:19" x14ac:dyDescent="0.25">
      <c r="A195" s="20" t="s">
        <v>243</v>
      </c>
      <c r="B195" s="20" t="s">
        <v>359</v>
      </c>
      <c r="C195" s="6"/>
      <c r="D195" s="6"/>
      <c r="E195" s="20"/>
      <c r="F195" s="20"/>
      <c r="G195" s="20" t="s">
        <v>463</v>
      </c>
      <c r="H195" s="27"/>
      <c r="I195" s="20"/>
      <c r="J195" s="6"/>
      <c r="K195" s="6"/>
      <c r="L195" s="6" t="s">
        <v>360</v>
      </c>
      <c r="M195" s="6" t="s">
        <v>361</v>
      </c>
      <c r="N195" s="6"/>
      <c r="O195" s="20" t="s">
        <v>909</v>
      </c>
      <c r="P195" s="20" t="s">
        <v>297</v>
      </c>
      <c r="Q195" s="22" t="s">
        <v>363</v>
      </c>
      <c r="R195" s="6" t="s">
        <v>910</v>
      </c>
      <c r="S195" s="6"/>
    </row>
    <row r="196" ht="45" customHeight="1" spans="1:19" x14ac:dyDescent="0.25">
      <c r="A196" s="20" t="s">
        <v>243</v>
      </c>
      <c r="B196" s="20" t="s">
        <v>364</v>
      </c>
      <c r="C196" s="6"/>
      <c r="D196" s="6"/>
      <c r="E196" s="20"/>
      <c r="F196" s="20"/>
      <c r="G196" s="20" t="s">
        <v>463</v>
      </c>
      <c r="H196" s="27"/>
      <c r="I196" s="20"/>
      <c r="J196" s="6"/>
      <c r="K196" s="6"/>
      <c r="L196" s="6"/>
      <c r="M196" s="6"/>
      <c r="N196" s="6"/>
      <c r="O196" s="20" t="s">
        <v>787</v>
      </c>
      <c r="P196" s="20" t="s">
        <v>297</v>
      </c>
      <c r="Q196" s="20"/>
      <c r="R196" s="6" t="s">
        <v>911</v>
      </c>
      <c r="S196" s="6"/>
    </row>
    <row r="197" ht="45" customHeight="1" spans="1:19" x14ac:dyDescent="0.25">
      <c r="A197" s="20" t="s">
        <v>243</v>
      </c>
      <c r="B197" s="20" t="s">
        <v>365</v>
      </c>
      <c r="C197" s="6"/>
      <c r="D197" s="6"/>
      <c r="E197" s="20"/>
      <c r="F197" s="20"/>
      <c r="G197" s="20" t="s">
        <v>463</v>
      </c>
      <c r="H197" s="27"/>
      <c r="I197" s="20"/>
      <c r="J197" s="6"/>
      <c r="K197" s="6"/>
      <c r="L197" s="6"/>
      <c r="M197" s="6" t="s">
        <v>366</v>
      </c>
      <c r="N197" s="6"/>
      <c r="O197" s="20" t="s">
        <v>787</v>
      </c>
      <c r="P197" s="20" t="s">
        <v>297</v>
      </c>
      <c r="Q197" s="22" t="s">
        <v>368</v>
      </c>
      <c r="R197" s="6" t="s">
        <v>912</v>
      </c>
      <c r="S197" s="6"/>
    </row>
    <row r="198" ht="45" customHeight="1" spans="1:19" x14ac:dyDescent="0.25">
      <c r="A198" s="20" t="s">
        <v>243</v>
      </c>
      <c r="B198" s="20" t="s">
        <v>369</v>
      </c>
      <c r="C198" s="6"/>
      <c r="D198" s="6"/>
      <c r="E198" s="20"/>
      <c r="F198" s="20"/>
      <c r="G198" s="20" t="s">
        <v>463</v>
      </c>
      <c r="H198" s="27"/>
      <c r="I198" s="20"/>
      <c r="J198" s="6"/>
      <c r="K198" s="6"/>
      <c r="L198" s="6"/>
      <c r="M198" s="6" t="s">
        <v>370</v>
      </c>
      <c r="N198" s="6"/>
      <c r="O198" s="20" t="s">
        <v>787</v>
      </c>
      <c r="P198" s="20" t="s">
        <v>297</v>
      </c>
      <c r="Q198" s="22" t="s">
        <v>372</v>
      </c>
      <c r="R198" s="6" t="s">
        <v>913</v>
      </c>
      <c r="S198" s="6"/>
    </row>
    <row r="199" ht="45" customHeight="1" spans="1:19" x14ac:dyDescent="0.25">
      <c r="A199" s="20" t="s">
        <v>243</v>
      </c>
      <c r="B199" s="20" t="s">
        <v>373</v>
      </c>
      <c r="C199" s="6"/>
      <c r="D199" s="6"/>
      <c r="E199" s="20"/>
      <c r="F199" s="20"/>
      <c r="G199" s="20" t="s">
        <v>463</v>
      </c>
      <c r="H199" s="27"/>
      <c r="I199" s="20"/>
      <c r="J199" s="6"/>
      <c r="K199" s="6"/>
      <c r="L199" s="6"/>
      <c r="M199" s="6"/>
      <c r="N199" s="6"/>
      <c r="O199" s="20" t="s">
        <v>787</v>
      </c>
      <c r="P199" s="20" t="s">
        <v>297</v>
      </c>
      <c r="Q199" s="20"/>
      <c r="R199" s="6" t="s">
        <v>914</v>
      </c>
      <c r="S199" s="6"/>
    </row>
    <row r="200" ht="45" customHeight="1" spans="1:19" x14ac:dyDescent="0.25">
      <c r="A200" s="20" t="s">
        <v>243</v>
      </c>
      <c r="B200" s="20" t="s">
        <v>374</v>
      </c>
      <c r="C200" s="6"/>
      <c r="D200" s="6"/>
      <c r="E200" s="20"/>
      <c r="F200" s="20"/>
      <c r="G200" s="20" t="s">
        <v>463</v>
      </c>
      <c r="H200" s="27"/>
      <c r="I200" s="20"/>
      <c r="J200" s="6"/>
      <c r="K200" s="6"/>
      <c r="L200" s="6"/>
      <c r="M200" s="6"/>
      <c r="N200" s="6"/>
      <c r="O200" s="20" t="s">
        <v>787</v>
      </c>
      <c r="P200" s="20" t="s">
        <v>297</v>
      </c>
      <c r="Q200" s="20"/>
      <c r="R200" s="6" t="s">
        <v>915</v>
      </c>
      <c r="S200" s="6"/>
    </row>
    <row r="201" ht="45" customHeight="1" spans="1:19" x14ac:dyDescent="0.25">
      <c r="A201" s="20" t="s">
        <v>243</v>
      </c>
      <c r="B201" s="20" t="s">
        <v>375</v>
      </c>
      <c r="C201" s="6"/>
      <c r="D201" s="6"/>
      <c r="E201" s="20"/>
      <c r="F201" s="20"/>
      <c r="G201" s="20" t="s">
        <v>463</v>
      </c>
      <c r="H201" s="27"/>
      <c r="I201" s="20"/>
      <c r="J201" s="6"/>
      <c r="K201" s="6"/>
      <c r="L201" s="6"/>
      <c r="M201" s="6" t="s">
        <v>376</v>
      </c>
      <c r="N201" s="6"/>
      <c r="O201" s="20"/>
      <c r="P201" s="20" t="s">
        <v>297</v>
      </c>
      <c r="Q201" s="20"/>
      <c r="R201" s="6" t="s">
        <v>916</v>
      </c>
      <c r="S201" s="6"/>
    </row>
    <row r="202" ht="45" customHeight="1" spans="1:19" x14ac:dyDescent="0.25">
      <c r="A202" s="20" t="s">
        <v>243</v>
      </c>
      <c r="B202" s="20" t="s">
        <v>378</v>
      </c>
      <c r="C202" s="6"/>
      <c r="D202" s="6"/>
      <c r="E202" s="20"/>
      <c r="F202" s="20"/>
      <c r="G202" s="20" t="s">
        <v>463</v>
      </c>
      <c r="H202" s="27"/>
      <c r="I202" s="20"/>
      <c r="J202" s="6"/>
      <c r="K202" s="6"/>
      <c r="L202" s="6"/>
      <c r="M202" s="6"/>
      <c r="N202" s="6"/>
      <c r="O202" s="20" t="s">
        <v>787</v>
      </c>
      <c r="P202" s="20" t="s">
        <v>297</v>
      </c>
      <c r="Q202" s="20"/>
      <c r="R202" s="6" t="s">
        <v>917</v>
      </c>
      <c r="S202" s="6"/>
    </row>
    <row r="203" ht="45" customHeight="1" spans="1:19" x14ac:dyDescent="0.25">
      <c r="A203" s="20" t="s">
        <v>243</v>
      </c>
      <c r="B203" s="20" t="s">
        <v>379</v>
      </c>
      <c r="C203" s="6"/>
      <c r="D203" s="6"/>
      <c r="E203" s="20"/>
      <c r="F203" s="20"/>
      <c r="G203" s="20" t="s">
        <v>463</v>
      </c>
      <c r="H203" s="27"/>
      <c r="I203" s="20"/>
      <c r="J203" s="6"/>
      <c r="K203" s="6"/>
      <c r="L203" s="6"/>
      <c r="M203" s="6" t="s">
        <v>380</v>
      </c>
      <c r="N203" s="6"/>
      <c r="O203" s="20" t="s">
        <v>787</v>
      </c>
      <c r="P203" s="20" t="s">
        <v>297</v>
      </c>
      <c r="Q203" s="22" t="s">
        <v>382</v>
      </c>
      <c r="R203" s="6" t="s">
        <v>918</v>
      </c>
      <c r="S203" s="6"/>
    </row>
    <row r="204" ht="45" customHeight="1" spans="1:19" x14ac:dyDescent="0.25">
      <c r="A204" s="20" t="s">
        <v>243</v>
      </c>
      <c r="B204" s="20" t="s">
        <v>383</v>
      </c>
      <c r="C204" s="6"/>
      <c r="D204" s="6"/>
      <c r="E204" s="20"/>
      <c r="F204" s="20"/>
      <c r="G204" s="20" t="s">
        <v>463</v>
      </c>
      <c r="H204" s="27"/>
      <c r="I204" s="20"/>
      <c r="J204" s="6"/>
      <c r="K204" s="6"/>
      <c r="L204" s="6"/>
      <c r="M204" s="6" t="s">
        <v>385</v>
      </c>
      <c r="N204" s="6" t="s">
        <v>384</v>
      </c>
      <c r="O204" s="20" t="s">
        <v>919</v>
      </c>
      <c r="P204" s="20" t="s">
        <v>297</v>
      </c>
      <c r="Q204" s="22" t="s">
        <v>386</v>
      </c>
      <c r="R204" s="6" t="s">
        <v>920</v>
      </c>
      <c r="S204" s="6"/>
    </row>
    <row r="205" ht="45" customHeight="1" spans="1:19" x14ac:dyDescent="0.25">
      <c r="A205" s="20" t="s">
        <v>243</v>
      </c>
      <c r="B205" s="20" t="s">
        <v>387</v>
      </c>
      <c r="C205" s="6" t="s">
        <v>921</v>
      </c>
      <c r="D205" s="6" t="s">
        <v>922</v>
      </c>
      <c r="E205" s="20">
        <v>5</v>
      </c>
      <c r="F205" s="20">
        <v>7.5</v>
      </c>
      <c r="G205" s="20" t="s">
        <v>667</v>
      </c>
      <c r="H205" s="27">
        <v>35</v>
      </c>
      <c r="I205" s="20" t="s">
        <v>668</v>
      </c>
      <c r="J205" s="6"/>
      <c r="K205" s="6" t="s">
        <v>923</v>
      </c>
      <c r="L205" s="6" t="s">
        <v>390</v>
      </c>
      <c r="M205" s="6" t="s">
        <v>391</v>
      </c>
      <c r="N205" s="6" t="s">
        <v>389</v>
      </c>
      <c r="O205" s="20" t="s">
        <v>924</v>
      </c>
      <c r="P205" s="20" t="s">
        <v>269</v>
      </c>
      <c r="Q205" s="22" t="s">
        <v>393</v>
      </c>
      <c r="R205" s="6" t="s">
        <v>925</v>
      </c>
      <c r="S205" s="6" t="s">
        <v>926</v>
      </c>
    </row>
    <row r="206" ht="45" customHeight="1" spans="1:19" x14ac:dyDescent="0.25">
      <c r="A206" s="20" t="s">
        <v>243</v>
      </c>
      <c r="B206" s="20" t="s">
        <v>387</v>
      </c>
      <c r="C206" s="6" t="s">
        <v>921</v>
      </c>
      <c r="D206" s="6" t="s">
        <v>847</v>
      </c>
      <c r="E206" s="20">
        <v>7.5</v>
      </c>
      <c r="F206" s="20">
        <v>12.5</v>
      </c>
      <c r="G206" s="20" t="s">
        <v>667</v>
      </c>
      <c r="H206" s="27">
        <v>70</v>
      </c>
      <c r="I206" s="20" t="s">
        <v>668</v>
      </c>
      <c r="J206" s="6"/>
      <c r="K206" s="6" t="s">
        <v>923</v>
      </c>
      <c r="L206" s="6" t="s">
        <v>390</v>
      </c>
      <c r="M206" s="6" t="s">
        <v>391</v>
      </c>
      <c r="N206" s="6" t="s">
        <v>389</v>
      </c>
      <c r="O206" s="20" t="s">
        <v>924</v>
      </c>
      <c r="P206" s="20" t="s">
        <v>269</v>
      </c>
      <c r="Q206" s="22" t="s">
        <v>393</v>
      </c>
      <c r="R206" s="6" t="s">
        <v>925</v>
      </c>
      <c r="S206" s="6" t="s">
        <v>926</v>
      </c>
    </row>
    <row r="207" ht="45" customHeight="1" spans="1:19" x14ac:dyDescent="0.25">
      <c r="A207" s="20" t="s">
        <v>243</v>
      </c>
      <c r="B207" s="20" t="s">
        <v>387</v>
      </c>
      <c r="C207" s="6" t="s">
        <v>921</v>
      </c>
      <c r="D207" s="6" t="s">
        <v>848</v>
      </c>
      <c r="E207" s="20">
        <v>12.5</v>
      </c>
      <c r="F207" s="20">
        <v>16</v>
      </c>
      <c r="G207" s="20" t="s">
        <v>667</v>
      </c>
      <c r="H207" s="27">
        <v>150</v>
      </c>
      <c r="I207" s="20" t="s">
        <v>668</v>
      </c>
      <c r="J207" s="6"/>
      <c r="K207" s="6" t="s">
        <v>923</v>
      </c>
      <c r="L207" s="6" t="s">
        <v>390</v>
      </c>
      <c r="M207" s="6" t="s">
        <v>391</v>
      </c>
      <c r="N207" s="6" t="s">
        <v>389</v>
      </c>
      <c r="O207" s="20" t="s">
        <v>924</v>
      </c>
      <c r="P207" s="20" t="s">
        <v>269</v>
      </c>
      <c r="Q207" s="22" t="s">
        <v>393</v>
      </c>
      <c r="R207" s="6" t="s">
        <v>925</v>
      </c>
      <c r="S207" s="6" t="s">
        <v>926</v>
      </c>
    </row>
    <row r="208" ht="45" customHeight="1" spans="1:19" x14ac:dyDescent="0.25">
      <c r="A208" s="20" t="s">
        <v>243</v>
      </c>
      <c r="B208" s="20" t="s">
        <v>387</v>
      </c>
      <c r="C208" s="6" t="s">
        <v>921</v>
      </c>
      <c r="D208" s="6" t="s">
        <v>849</v>
      </c>
      <c r="E208" s="20">
        <v>16</v>
      </c>
      <c r="F208" s="20">
        <v>22</v>
      </c>
      <c r="G208" s="20" t="s">
        <v>667</v>
      </c>
      <c r="H208" s="27">
        <v>175</v>
      </c>
      <c r="I208" s="20" t="s">
        <v>668</v>
      </c>
      <c r="J208" s="6"/>
      <c r="K208" s="6" t="s">
        <v>923</v>
      </c>
      <c r="L208" s="6" t="s">
        <v>390</v>
      </c>
      <c r="M208" s="6" t="s">
        <v>391</v>
      </c>
      <c r="N208" s="6" t="s">
        <v>389</v>
      </c>
      <c r="O208" s="20" t="s">
        <v>924</v>
      </c>
      <c r="P208" s="20" t="s">
        <v>269</v>
      </c>
      <c r="Q208" s="22" t="s">
        <v>393</v>
      </c>
      <c r="R208" s="6" t="s">
        <v>925</v>
      </c>
      <c r="S208" s="6" t="s">
        <v>926</v>
      </c>
    </row>
    <row r="209" ht="45" customHeight="1" spans="1:19" x14ac:dyDescent="0.25">
      <c r="A209" s="20" t="s">
        <v>243</v>
      </c>
      <c r="B209" s="20" t="s">
        <v>387</v>
      </c>
      <c r="C209" s="6" t="s">
        <v>921</v>
      </c>
      <c r="D209" s="6" t="s">
        <v>850</v>
      </c>
      <c r="E209" s="20">
        <v>22</v>
      </c>
      <c r="F209" s="20">
        <v>40</v>
      </c>
      <c r="G209" s="20" t="s">
        <v>667</v>
      </c>
      <c r="H209" s="27">
        <v>225</v>
      </c>
      <c r="I209" s="20" t="s">
        <v>668</v>
      </c>
      <c r="J209" s="6"/>
      <c r="K209" s="6" t="s">
        <v>923</v>
      </c>
      <c r="L209" s="6" t="s">
        <v>390</v>
      </c>
      <c r="M209" s="6" t="s">
        <v>391</v>
      </c>
      <c r="N209" s="6" t="s">
        <v>389</v>
      </c>
      <c r="O209" s="20" t="s">
        <v>924</v>
      </c>
      <c r="P209" s="20" t="s">
        <v>269</v>
      </c>
      <c r="Q209" s="22" t="s">
        <v>393</v>
      </c>
      <c r="R209" s="6" t="s">
        <v>925</v>
      </c>
      <c r="S209" s="6" t="s">
        <v>926</v>
      </c>
    </row>
    <row r="210" ht="45" customHeight="1" spans="1:19" x14ac:dyDescent="0.25">
      <c r="A210" s="20" t="s">
        <v>243</v>
      </c>
      <c r="B210" s="20" t="s">
        <v>387</v>
      </c>
      <c r="C210" s="6" t="s">
        <v>921</v>
      </c>
      <c r="D210" s="6" t="s">
        <v>688</v>
      </c>
      <c r="E210" s="20">
        <v>40</v>
      </c>
      <c r="F210" s="20"/>
      <c r="G210" s="20" t="s">
        <v>667</v>
      </c>
      <c r="H210" s="27">
        <v>350</v>
      </c>
      <c r="I210" s="20" t="s">
        <v>668</v>
      </c>
      <c r="J210" s="6"/>
      <c r="K210" s="6" t="s">
        <v>923</v>
      </c>
      <c r="L210" s="6" t="s">
        <v>390</v>
      </c>
      <c r="M210" s="6" t="s">
        <v>391</v>
      </c>
      <c r="N210" s="6" t="s">
        <v>389</v>
      </c>
      <c r="O210" s="20" t="s">
        <v>924</v>
      </c>
      <c r="P210" s="20" t="s">
        <v>269</v>
      </c>
      <c r="Q210" s="22" t="s">
        <v>393</v>
      </c>
      <c r="R210" s="6" t="s">
        <v>925</v>
      </c>
      <c r="S210" s="6" t="s">
        <v>926</v>
      </c>
    </row>
    <row r="211" ht="45" customHeight="1" spans="1:19" x14ac:dyDescent="0.25">
      <c r="A211" s="20" t="s">
        <v>243</v>
      </c>
      <c r="B211" s="20" t="s">
        <v>387</v>
      </c>
      <c r="C211" s="6" t="s">
        <v>921</v>
      </c>
      <c r="D211" s="6" t="s">
        <v>922</v>
      </c>
      <c r="E211" s="20">
        <v>5</v>
      </c>
      <c r="F211" s="20">
        <v>7.5</v>
      </c>
      <c r="G211" s="20" t="s">
        <v>927</v>
      </c>
      <c r="H211" s="27">
        <v>140</v>
      </c>
      <c r="I211" s="20" t="s">
        <v>668</v>
      </c>
      <c r="J211" s="6"/>
      <c r="K211" s="6" t="s">
        <v>923</v>
      </c>
      <c r="L211" s="6" t="s">
        <v>390</v>
      </c>
      <c r="M211" s="6" t="s">
        <v>391</v>
      </c>
      <c r="N211" s="6" t="s">
        <v>389</v>
      </c>
      <c r="O211" s="20" t="s">
        <v>924</v>
      </c>
      <c r="P211" s="20" t="s">
        <v>269</v>
      </c>
      <c r="Q211" s="22" t="s">
        <v>393</v>
      </c>
      <c r="R211" s="6" t="s">
        <v>925</v>
      </c>
      <c r="S211" s="6" t="s">
        <v>926</v>
      </c>
    </row>
    <row r="212" ht="45" customHeight="1" spans="1:19" x14ac:dyDescent="0.25">
      <c r="A212" s="20" t="s">
        <v>243</v>
      </c>
      <c r="B212" s="20" t="s">
        <v>387</v>
      </c>
      <c r="C212" s="6" t="s">
        <v>921</v>
      </c>
      <c r="D212" s="6" t="s">
        <v>847</v>
      </c>
      <c r="E212" s="20">
        <v>7.5</v>
      </c>
      <c r="F212" s="20">
        <v>12.5</v>
      </c>
      <c r="G212" s="20" t="s">
        <v>927</v>
      </c>
      <c r="H212" s="27">
        <v>280</v>
      </c>
      <c r="I212" s="20" t="s">
        <v>668</v>
      </c>
      <c r="J212" s="6"/>
      <c r="K212" s="6" t="s">
        <v>923</v>
      </c>
      <c r="L212" s="6" t="s">
        <v>390</v>
      </c>
      <c r="M212" s="6" t="s">
        <v>391</v>
      </c>
      <c r="N212" s="6" t="s">
        <v>389</v>
      </c>
      <c r="O212" s="20" t="s">
        <v>924</v>
      </c>
      <c r="P212" s="20" t="s">
        <v>269</v>
      </c>
      <c r="Q212" s="22" t="s">
        <v>393</v>
      </c>
      <c r="R212" s="6" t="s">
        <v>925</v>
      </c>
      <c r="S212" s="6" t="s">
        <v>926</v>
      </c>
    </row>
    <row r="213" ht="45" customHeight="1" spans="1:19" x14ac:dyDescent="0.25">
      <c r="A213" s="20" t="s">
        <v>243</v>
      </c>
      <c r="B213" s="20" t="s">
        <v>387</v>
      </c>
      <c r="C213" s="6" t="s">
        <v>921</v>
      </c>
      <c r="D213" s="6" t="s">
        <v>848</v>
      </c>
      <c r="E213" s="20">
        <v>12.5</v>
      </c>
      <c r="F213" s="20">
        <v>16</v>
      </c>
      <c r="G213" s="20" t="s">
        <v>927</v>
      </c>
      <c r="H213" s="27">
        <v>600</v>
      </c>
      <c r="I213" s="20" t="s">
        <v>668</v>
      </c>
      <c r="J213" s="6"/>
      <c r="K213" s="6" t="s">
        <v>923</v>
      </c>
      <c r="L213" s="6" t="s">
        <v>390</v>
      </c>
      <c r="M213" s="6" t="s">
        <v>391</v>
      </c>
      <c r="N213" s="6" t="s">
        <v>389</v>
      </c>
      <c r="O213" s="20" t="s">
        <v>924</v>
      </c>
      <c r="P213" s="20" t="s">
        <v>269</v>
      </c>
      <c r="Q213" s="22" t="s">
        <v>393</v>
      </c>
      <c r="R213" s="6" t="s">
        <v>925</v>
      </c>
      <c r="S213" s="6" t="s">
        <v>926</v>
      </c>
    </row>
    <row r="214" ht="45" customHeight="1" spans="1:19" x14ac:dyDescent="0.25">
      <c r="A214" s="20" t="s">
        <v>243</v>
      </c>
      <c r="B214" s="20" t="s">
        <v>387</v>
      </c>
      <c r="C214" s="6" t="s">
        <v>921</v>
      </c>
      <c r="D214" s="6" t="s">
        <v>849</v>
      </c>
      <c r="E214" s="20">
        <v>16</v>
      </c>
      <c r="F214" s="20">
        <v>22</v>
      </c>
      <c r="G214" s="20" t="s">
        <v>927</v>
      </c>
      <c r="H214" s="27">
        <v>700</v>
      </c>
      <c r="I214" s="20" t="s">
        <v>668</v>
      </c>
      <c r="J214" s="6"/>
      <c r="K214" s="6" t="s">
        <v>923</v>
      </c>
      <c r="L214" s="6" t="s">
        <v>390</v>
      </c>
      <c r="M214" s="6" t="s">
        <v>391</v>
      </c>
      <c r="N214" s="6" t="s">
        <v>389</v>
      </c>
      <c r="O214" s="20" t="s">
        <v>924</v>
      </c>
      <c r="P214" s="20" t="s">
        <v>269</v>
      </c>
      <c r="Q214" s="22" t="s">
        <v>393</v>
      </c>
      <c r="R214" s="6" t="s">
        <v>925</v>
      </c>
      <c r="S214" s="6" t="s">
        <v>926</v>
      </c>
    </row>
    <row r="215" ht="45" customHeight="1" spans="1:19" x14ac:dyDescent="0.25">
      <c r="A215" s="20" t="s">
        <v>243</v>
      </c>
      <c r="B215" s="20" t="s">
        <v>387</v>
      </c>
      <c r="C215" s="6" t="s">
        <v>921</v>
      </c>
      <c r="D215" s="6" t="s">
        <v>850</v>
      </c>
      <c r="E215" s="20">
        <v>22</v>
      </c>
      <c r="F215" s="20">
        <v>40</v>
      </c>
      <c r="G215" s="20" t="s">
        <v>927</v>
      </c>
      <c r="H215" s="27">
        <v>900</v>
      </c>
      <c r="I215" s="20" t="s">
        <v>668</v>
      </c>
      <c r="J215" s="6"/>
      <c r="K215" s="6" t="s">
        <v>923</v>
      </c>
      <c r="L215" s="6" t="s">
        <v>390</v>
      </c>
      <c r="M215" s="6" t="s">
        <v>391</v>
      </c>
      <c r="N215" s="6" t="s">
        <v>389</v>
      </c>
      <c r="O215" s="20" t="s">
        <v>924</v>
      </c>
      <c r="P215" s="20" t="s">
        <v>269</v>
      </c>
      <c r="Q215" s="22" t="s">
        <v>393</v>
      </c>
      <c r="R215" s="6" t="s">
        <v>925</v>
      </c>
      <c r="S215" s="6" t="s">
        <v>926</v>
      </c>
    </row>
    <row r="216" ht="45" customHeight="1" spans="1:19" x14ac:dyDescent="0.25">
      <c r="A216" s="20" t="s">
        <v>243</v>
      </c>
      <c r="B216" s="20" t="s">
        <v>387</v>
      </c>
      <c r="C216" s="6" t="s">
        <v>921</v>
      </c>
      <c r="D216" s="6" t="s">
        <v>688</v>
      </c>
      <c r="E216" s="20">
        <v>40</v>
      </c>
      <c r="F216" s="20"/>
      <c r="G216" s="20" t="s">
        <v>927</v>
      </c>
      <c r="H216" s="27">
        <v>1400</v>
      </c>
      <c r="I216" s="20" t="s">
        <v>668</v>
      </c>
      <c r="J216" s="6"/>
      <c r="K216" s="6" t="s">
        <v>923</v>
      </c>
      <c r="L216" s="6" t="s">
        <v>390</v>
      </c>
      <c r="M216" s="6" t="s">
        <v>391</v>
      </c>
      <c r="N216" s="6" t="s">
        <v>389</v>
      </c>
      <c r="O216" s="20" t="s">
        <v>924</v>
      </c>
      <c r="P216" s="20" t="s">
        <v>269</v>
      </c>
      <c r="Q216" s="22" t="s">
        <v>393</v>
      </c>
      <c r="R216" s="6" t="s">
        <v>925</v>
      </c>
      <c r="S216" s="6" t="s">
        <v>926</v>
      </c>
    </row>
    <row r="217" ht="45" customHeight="1" spans="1:19" x14ac:dyDescent="0.25">
      <c r="A217" s="20" t="s">
        <v>243</v>
      </c>
      <c r="B217" s="20" t="s">
        <v>387</v>
      </c>
      <c r="C217" s="6" t="s">
        <v>921</v>
      </c>
      <c r="D217" s="6" t="s">
        <v>922</v>
      </c>
      <c r="E217" s="20">
        <v>5</v>
      </c>
      <c r="F217" s="20">
        <v>7.5</v>
      </c>
      <c r="G217" s="20" t="s">
        <v>674</v>
      </c>
      <c r="H217" s="27">
        <v>350</v>
      </c>
      <c r="I217" s="20" t="s">
        <v>668</v>
      </c>
      <c r="J217" s="6"/>
      <c r="K217" s="6" t="s">
        <v>923</v>
      </c>
      <c r="L217" s="6" t="s">
        <v>390</v>
      </c>
      <c r="M217" s="6" t="s">
        <v>391</v>
      </c>
      <c r="N217" s="6" t="s">
        <v>389</v>
      </c>
      <c r="O217" s="20" t="s">
        <v>924</v>
      </c>
      <c r="P217" s="20" t="s">
        <v>269</v>
      </c>
      <c r="Q217" s="22" t="s">
        <v>393</v>
      </c>
      <c r="R217" s="6" t="s">
        <v>925</v>
      </c>
      <c r="S217" s="6" t="s">
        <v>926</v>
      </c>
    </row>
    <row r="218" ht="45" customHeight="1" spans="1:19" x14ac:dyDescent="0.25">
      <c r="A218" s="20" t="s">
        <v>243</v>
      </c>
      <c r="B218" s="20" t="s">
        <v>387</v>
      </c>
      <c r="C218" s="6" t="s">
        <v>921</v>
      </c>
      <c r="D218" s="6" t="s">
        <v>847</v>
      </c>
      <c r="E218" s="20">
        <v>7.5</v>
      </c>
      <c r="F218" s="20">
        <v>12.5</v>
      </c>
      <c r="G218" s="20" t="s">
        <v>674</v>
      </c>
      <c r="H218" s="27">
        <v>700</v>
      </c>
      <c r="I218" s="20" t="s">
        <v>668</v>
      </c>
      <c r="J218" s="6"/>
      <c r="K218" s="6" t="s">
        <v>923</v>
      </c>
      <c r="L218" s="6" t="s">
        <v>390</v>
      </c>
      <c r="M218" s="6" t="s">
        <v>391</v>
      </c>
      <c r="N218" s="6" t="s">
        <v>389</v>
      </c>
      <c r="O218" s="20" t="s">
        <v>924</v>
      </c>
      <c r="P218" s="20" t="s">
        <v>269</v>
      </c>
      <c r="Q218" s="22" t="s">
        <v>393</v>
      </c>
      <c r="R218" s="6" t="s">
        <v>925</v>
      </c>
      <c r="S218" s="6" t="s">
        <v>926</v>
      </c>
    </row>
    <row r="219" ht="45" customHeight="1" spans="1:19" x14ac:dyDescent="0.25">
      <c r="A219" s="20" t="s">
        <v>243</v>
      </c>
      <c r="B219" s="20" t="s">
        <v>387</v>
      </c>
      <c r="C219" s="6" t="s">
        <v>921</v>
      </c>
      <c r="D219" s="6" t="s">
        <v>848</v>
      </c>
      <c r="E219" s="20">
        <v>12.5</v>
      </c>
      <c r="F219" s="20">
        <v>16</v>
      </c>
      <c r="G219" s="20" t="s">
        <v>674</v>
      </c>
      <c r="H219" s="27">
        <v>1500</v>
      </c>
      <c r="I219" s="20" t="s">
        <v>668</v>
      </c>
      <c r="J219" s="6"/>
      <c r="K219" s="6" t="s">
        <v>923</v>
      </c>
      <c r="L219" s="6" t="s">
        <v>390</v>
      </c>
      <c r="M219" s="6" t="s">
        <v>391</v>
      </c>
      <c r="N219" s="6" t="s">
        <v>389</v>
      </c>
      <c r="O219" s="20" t="s">
        <v>924</v>
      </c>
      <c r="P219" s="20" t="s">
        <v>269</v>
      </c>
      <c r="Q219" s="22" t="s">
        <v>393</v>
      </c>
      <c r="R219" s="6" t="s">
        <v>925</v>
      </c>
      <c r="S219" s="6" t="s">
        <v>926</v>
      </c>
    </row>
    <row r="220" ht="45" customHeight="1" spans="1:19" x14ac:dyDescent="0.25">
      <c r="A220" s="20" t="s">
        <v>243</v>
      </c>
      <c r="B220" s="20" t="s">
        <v>387</v>
      </c>
      <c r="C220" s="6" t="s">
        <v>921</v>
      </c>
      <c r="D220" s="6" t="s">
        <v>849</v>
      </c>
      <c r="E220" s="20">
        <v>16</v>
      </c>
      <c r="F220" s="20">
        <v>22</v>
      </c>
      <c r="G220" s="20" t="s">
        <v>674</v>
      </c>
      <c r="H220" s="27">
        <v>1750</v>
      </c>
      <c r="I220" s="20" t="s">
        <v>668</v>
      </c>
      <c r="J220" s="6"/>
      <c r="K220" s="6" t="s">
        <v>923</v>
      </c>
      <c r="L220" s="6" t="s">
        <v>390</v>
      </c>
      <c r="M220" s="6" t="s">
        <v>391</v>
      </c>
      <c r="N220" s="6" t="s">
        <v>389</v>
      </c>
      <c r="O220" s="20" t="s">
        <v>924</v>
      </c>
      <c r="P220" s="20" t="s">
        <v>269</v>
      </c>
      <c r="Q220" s="22" t="s">
        <v>393</v>
      </c>
      <c r="R220" s="6" t="s">
        <v>925</v>
      </c>
      <c r="S220" s="6" t="s">
        <v>926</v>
      </c>
    </row>
    <row r="221" ht="45" customHeight="1" spans="1:19" x14ac:dyDescent="0.25">
      <c r="A221" s="20" t="s">
        <v>243</v>
      </c>
      <c r="B221" s="20" t="s">
        <v>387</v>
      </c>
      <c r="C221" s="6" t="s">
        <v>921</v>
      </c>
      <c r="D221" s="6" t="s">
        <v>850</v>
      </c>
      <c r="E221" s="20">
        <v>22</v>
      </c>
      <c r="F221" s="20">
        <v>40</v>
      </c>
      <c r="G221" s="20" t="s">
        <v>674</v>
      </c>
      <c r="H221" s="27">
        <v>2250</v>
      </c>
      <c r="I221" s="20" t="s">
        <v>668</v>
      </c>
      <c r="J221" s="6"/>
      <c r="K221" s="6" t="s">
        <v>923</v>
      </c>
      <c r="L221" s="6" t="s">
        <v>390</v>
      </c>
      <c r="M221" s="6" t="s">
        <v>391</v>
      </c>
      <c r="N221" s="6" t="s">
        <v>389</v>
      </c>
      <c r="O221" s="20" t="s">
        <v>924</v>
      </c>
      <c r="P221" s="20" t="s">
        <v>269</v>
      </c>
      <c r="Q221" s="22" t="s">
        <v>393</v>
      </c>
      <c r="R221" s="6" t="s">
        <v>925</v>
      </c>
      <c r="S221" s="6" t="s">
        <v>926</v>
      </c>
    </row>
    <row r="222" ht="45" customHeight="1" spans="1:19" x14ac:dyDescent="0.25">
      <c r="A222" s="20" t="s">
        <v>243</v>
      </c>
      <c r="B222" s="20" t="s">
        <v>387</v>
      </c>
      <c r="C222" s="6" t="s">
        <v>921</v>
      </c>
      <c r="D222" s="6" t="s">
        <v>688</v>
      </c>
      <c r="E222" s="20">
        <v>40</v>
      </c>
      <c r="F222" s="20"/>
      <c r="G222" s="20" t="s">
        <v>674</v>
      </c>
      <c r="H222" s="27">
        <v>3000</v>
      </c>
      <c r="I222" s="20" t="s">
        <v>668</v>
      </c>
      <c r="J222" s="6"/>
      <c r="K222" s="6" t="s">
        <v>923</v>
      </c>
      <c r="L222" s="6" t="s">
        <v>390</v>
      </c>
      <c r="M222" s="6" t="s">
        <v>391</v>
      </c>
      <c r="N222" s="6" t="s">
        <v>389</v>
      </c>
      <c r="O222" s="20" t="s">
        <v>924</v>
      </c>
      <c r="P222" s="20" t="s">
        <v>269</v>
      </c>
      <c r="Q222" s="22" t="s">
        <v>393</v>
      </c>
      <c r="R222" s="6" t="s">
        <v>925</v>
      </c>
      <c r="S222" s="6" t="s">
        <v>926</v>
      </c>
    </row>
    <row r="223" ht="45" customHeight="1" spans="1:19" x14ac:dyDescent="0.25">
      <c r="A223" s="20" t="s">
        <v>243</v>
      </c>
      <c r="B223" s="20" t="s">
        <v>394</v>
      </c>
      <c r="C223" s="6"/>
      <c r="D223" s="6"/>
      <c r="E223" s="20"/>
      <c r="F223" s="20"/>
      <c r="G223" s="20" t="s">
        <v>463</v>
      </c>
      <c r="H223" s="27"/>
      <c r="I223" s="20"/>
      <c r="J223" s="6"/>
      <c r="K223" s="6"/>
      <c r="L223" s="6"/>
      <c r="M223" s="6"/>
      <c r="N223" s="6"/>
      <c r="O223" s="20" t="s">
        <v>787</v>
      </c>
      <c r="P223" s="20" t="s">
        <v>297</v>
      </c>
      <c r="Q223" s="22" t="s">
        <v>396</v>
      </c>
      <c r="R223" s="6" t="s">
        <v>928</v>
      </c>
      <c r="S223" s="6"/>
    </row>
    <row r="224" ht="45" customHeight="1" spans="1:19" x14ac:dyDescent="0.25">
      <c r="A224" s="20" t="s">
        <v>397</v>
      </c>
      <c r="B224" s="20" t="s">
        <v>398</v>
      </c>
      <c r="C224" s="6" t="s">
        <v>929</v>
      </c>
      <c r="D224" s="6" t="s">
        <v>930</v>
      </c>
      <c r="E224" s="20">
        <v>5</v>
      </c>
      <c r="F224" s="20">
        <v>7.5</v>
      </c>
      <c r="G224" s="20" t="s">
        <v>706</v>
      </c>
      <c r="H224" s="27"/>
      <c r="I224" s="20" t="s">
        <v>668</v>
      </c>
      <c r="J224" s="6" t="s">
        <v>931</v>
      </c>
      <c r="K224" s="6" t="s">
        <v>932</v>
      </c>
      <c r="L224" s="6" t="s">
        <v>401</v>
      </c>
      <c r="M224" s="6" t="s">
        <v>402</v>
      </c>
      <c r="N224" s="6" t="s">
        <v>400</v>
      </c>
      <c r="O224" s="20" t="s">
        <v>933</v>
      </c>
      <c r="P224" s="20" t="s">
        <v>269</v>
      </c>
      <c r="Q224" s="22" t="s">
        <v>403</v>
      </c>
      <c r="R224" s="6" t="s">
        <v>934</v>
      </c>
      <c r="S224" s="6" t="s">
        <v>935</v>
      </c>
    </row>
    <row r="225" ht="45" customHeight="1" spans="1:19" x14ac:dyDescent="0.25">
      <c r="A225" s="20" t="s">
        <v>397</v>
      </c>
      <c r="B225" s="20" t="s">
        <v>398</v>
      </c>
      <c r="C225" s="6" t="s">
        <v>936</v>
      </c>
      <c r="D225" s="6" t="s">
        <v>930</v>
      </c>
      <c r="E225" s="20">
        <v>5</v>
      </c>
      <c r="F225" s="20">
        <v>7.5</v>
      </c>
      <c r="G225" s="20" t="s">
        <v>667</v>
      </c>
      <c r="H225" s="27">
        <v>71</v>
      </c>
      <c r="I225" s="20" t="s">
        <v>668</v>
      </c>
      <c r="J225" s="6" t="s">
        <v>931</v>
      </c>
      <c r="K225" s="6" t="s">
        <v>932</v>
      </c>
      <c r="L225" s="6" t="s">
        <v>401</v>
      </c>
      <c r="M225" s="6" t="s">
        <v>402</v>
      </c>
      <c r="N225" s="6" t="s">
        <v>400</v>
      </c>
      <c r="O225" s="20" t="s">
        <v>933</v>
      </c>
      <c r="P225" s="20" t="s">
        <v>269</v>
      </c>
      <c r="Q225" s="22" t="s">
        <v>403</v>
      </c>
      <c r="R225" s="6" t="s">
        <v>937</v>
      </c>
      <c r="S225" s="6" t="s">
        <v>938</v>
      </c>
    </row>
    <row r="226" ht="45" customHeight="1" spans="1:19" x14ac:dyDescent="0.25">
      <c r="A226" s="20" t="s">
        <v>397</v>
      </c>
      <c r="B226" s="20" t="s">
        <v>398</v>
      </c>
      <c r="C226" s="6" t="s">
        <v>936</v>
      </c>
      <c r="D226" s="6" t="s">
        <v>930</v>
      </c>
      <c r="E226" s="20">
        <v>5</v>
      </c>
      <c r="F226" s="20">
        <v>7.5</v>
      </c>
      <c r="G226" s="20" t="s">
        <v>674</v>
      </c>
      <c r="H226" s="27">
        <v>549</v>
      </c>
      <c r="I226" s="20" t="s">
        <v>668</v>
      </c>
      <c r="J226" s="6" t="s">
        <v>931</v>
      </c>
      <c r="K226" s="6" t="s">
        <v>932</v>
      </c>
      <c r="L226" s="6" t="s">
        <v>401</v>
      </c>
      <c r="M226" s="6" t="s">
        <v>402</v>
      </c>
      <c r="N226" s="6" t="s">
        <v>400</v>
      </c>
      <c r="O226" s="20" t="s">
        <v>933</v>
      </c>
      <c r="P226" s="20" t="s">
        <v>269</v>
      </c>
      <c r="Q226" s="22" t="s">
        <v>403</v>
      </c>
      <c r="R226" s="6" t="s">
        <v>937</v>
      </c>
      <c r="S226" s="6" t="s">
        <v>938</v>
      </c>
    </row>
    <row r="227" ht="45" customHeight="1" spans="1:19" x14ac:dyDescent="0.25">
      <c r="A227" s="20" t="s">
        <v>397</v>
      </c>
      <c r="B227" s="20" t="s">
        <v>398</v>
      </c>
      <c r="C227" s="6" t="s">
        <v>929</v>
      </c>
      <c r="D227" s="6" t="s">
        <v>939</v>
      </c>
      <c r="E227" s="20">
        <v>7.5</v>
      </c>
      <c r="F227" s="20">
        <v>20</v>
      </c>
      <c r="G227" s="20" t="s">
        <v>667</v>
      </c>
      <c r="H227" s="27">
        <v>67</v>
      </c>
      <c r="I227" s="20" t="s">
        <v>668</v>
      </c>
      <c r="J227" s="6" t="s">
        <v>931</v>
      </c>
      <c r="K227" s="6" t="s">
        <v>932</v>
      </c>
      <c r="L227" s="6" t="s">
        <v>401</v>
      </c>
      <c r="M227" s="6" t="s">
        <v>402</v>
      </c>
      <c r="N227" s="6" t="s">
        <v>400</v>
      </c>
      <c r="O227" s="20" t="s">
        <v>933</v>
      </c>
      <c r="P227" s="20" t="s">
        <v>269</v>
      </c>
      <c r="Q227" s="22" t="s">
        <v>403</v>
      </c>
      <c r="R227" s="6" t="s">
        <v>937</v>
      </c>
      <c r="S227" s="6" t="s">
        <v>935</v>
      </c>
    </row>
    <row r="228" ht="45" customHeight="1" spans="1:19" x14ac:dyDescent="0.25">
      <c r="A228" s="20" t="s">
        <v>397</v>
      </c>
      <c r="B228" s="20" t="s">
        <v>398</v>
      </c>
      <c r="C228" s="6" t="s">
        <v>929</v>
      </c>
      <c r="D228" s="6" t="s">
        <v>939</v>
      </c>
      <c r="E228" s="20">
        <v>7.5</v>
      </c>
      <c r="F228" s="20">
        <v>20</v>
      </c>
      <c r="G228" s="20" t="s">
        <v>674</v>
      </c>
      <c r="H228" s="27">
        <v>713</v>
      </c>
      <c r="I228" s="20" t="s">
        <v>668</v>
      </c>
      <c r="J228" s="6" t="s">
        <v>931</v>
      </c>
      <c r="K228" s="6" t="s">
        <v>932</v>
      </c>
      <c r="L228" s="6" t="s">
        <v>401</v>
      </c>
      <c r="M228" s="6" t="s">
        <v>402</v>
      </c>
      <c r="N228" s="6" t="s">
        <v>400</v>
      </c>
      <c r="O228" s="20" t="s">
        <v>933</v>
      </c>
      <c r="P228" s="20" t="s">
        <v>269</v>
      </c>
      <c r="Q228" s="22" t="s">
        <v>403</v>
      </c>
      <c r="R228" s="6" t="s">
        <v>937</v>
      </c>
      <c r="S228" s="6" t="s">
        <v>935</v>
      </c>
    </row>
    <row r="229" ht="45" customHeight="1" spans="1:19" x14ac:dyDescent="0.25">
      <c r="A229" s="20" t="s">
        <v>397</v>
      </c>
      <c r="B229" s="20" t="s">
        <v>398</v>
      </c>
      <c r="C229" s="6" t="s">
        <v>936</v>
      </c>
      <c r="D229" s="6" t="s">
        <v>939</v>
      </c>
      <c r="E229" s="20">
        <v>7.5</v>
      </c>
      <c r="F229" s="20">
        <v>20</v>
      </c>
      <c r="G229" s="20" t="s">
        <v>667</v>
      </c>
      <c r="H229" s="27">
        <v>155</v>
      </c>
      <c r="I229" s="20" t="s">
        <v>668</v>
      </c>
      <c r="J229" s="6" t="s">
        <v>931</v>
      </c>
      <c r="K229" s="6" t="s">
        <v>932</v>
      </c>
      <c r="L229" s="6" t="s">
        <v>401</v>
      </c>
      <c r="M229" s="6" t="s">
        <v>402</v>
      </c>
      <c r="N229" s="6" t="s">
        <v>400</v>
      </c>
      <c r="O229" s="20" t="s">
        <v>933</v>
      </c>
      <c r="P229" s="20" t="s">
        <v>269</v>
      </c>
      <c r="Q229" s="22" t="s">
        <v>403</v>
      </c>
      <c r="R229" s="6" t="s">
        <v>937</v>
      </c>
      <c r="S229" s="6" t="s">
        <v>938</v>
      </c>
    </row>
    <row r="230" ht="45" customHeight="1" spans="1:19" x14ac:dyDescent="0.25">
      <c r="A230" s="20" t="s">
        <v>397</v>
      </c>
      <c r="B230" s="20" t="s">
        <v>398</v>
      </c>
      <c r="C230" s="6" t="s">
        <v>936</v>
      </c>
      <c r="D230" s="6" t="s">
        <v>939</v>
      </c>
      <c r="E230" s="20">
        <v>7.5</v>
      </c>
      <c r="F230" s="20">
        <v>20</v>
      </c>
      <c r="G230" s="20" t="s">
        <v>674</v>
      </c>
      <c r="H230" s="27">
        <v>1206</v>
      </c>
      <c r="I230" s="20" t="s">
        <v>668</v>
      </c>
      <c r="J230" s="6" t="s">
        <v>931</v>
      </c>
      <c r="K230" s="6" t="s">
        <v>932</v>
      </c>
      <c r="L230" s="6" t="s">
        <v>401</v>
      </c>
      <c r="M230" s="6" t="s">
        <v>402</v>
      </c>
      <c r="N230" s="6" t="s">
        <v>400</v>
      </c>
      <c r="O230" s="20" t="s">
        <v>933</v>
      </c>
      <c r="P230" s="20" t="s">
        <v>269</v>
      </c>
      <c r="Q230" s="22" t="s">
        <v>403</v>
      </c>
      <c r="R230" s="6" t="s">
        <v>937</v>
      </c>
      <c r="S230" s="6" t="s">
        <v>938</v>
      </c>
    </row>
    <row r="231" ht="45" customHeight="1" spans="1:19" x14ac:dyDescent="0.25">
      <c r="A231" s="20" t="s">
        <v>397</v>
      </c>
      <c r="B231" s="20" t="s">
        <v>398</v>
      </c>
      <c r="C231" s="6" t="s">
        <v>929</v>
      </c>
      <c r="D231" s="6" t="s">
        <v>940</v>
      </c>
      <c r="E231" s="20">
        <v>20</v>
      </c>
      <c r="F231" s="20">
        <v>40</v>
      </c>
      <c r="G231" s="20" t="s">
        <v>667</v>
      </c>
      <c r="H231" s="27">
        <v>114</v>
      </c>
      <c r="I231" s="20" t="s">
        <v>668</v>
      </c>
      <c r="J231" s="6" t="s">
        <v>931</v>
      </c>
      <c r="K231" s="6" t="s">
        <v>932</v>
      </c>
      <c r="L231" s="6" t="s">
        <v>401</v>
      </c>
      <c r="M231" s="6" t="s">
        <v>402</v>
      </c>
      <c r="N231" s="6" t="s">
        <v>400</v>
      </c>
      <c r="O231" s="20" t="s">
        <v>933</v>
      </c>
      <c r="P231" s="20" t="s">
        <v>269</v>
      </c>
      <c r="Q231" s="22" t="s">
        <v>403</v>
      </c>
      <c r="R231" s="6" t="s">
        <v>937</v>
      </c>
      <c r="S231" s="6" t="s">
        <v>935</v>
      </c>
    </row>
    <row r="232" ht="45" customHeight="1" spans="1:19" x14ac:dyDescent="0.25">
      <c r="A232" s="20" t="s">
        <v>397</v>
      </c>
      <c r="B232" s="20" t="s">
        <v>398</v>
      </c>
      <c r="C232" s="6" t="s">
        <v>929</v>
      </c>
      <c r="D232" s="6" t="s">
        <v>940</v>
      </c>
      <c r="E232" s="20">
        <v>20</v>
      </c>
      <c r="F232" s="20">
        <v>40</v>
      </c>
      <c r="G232" s="20" t="s">
        <v>674</v>
      </c>
      <c r="H232" s="27">
        <v>1206</v>
      </c>
      <c r="I232" s="20" t="s">
        <v>668</v>
      </c>
      <c r="J232" s="6" t="s">
        <v>931</v>
      </c>
      <c r="K232" s="6" t="s">
        <v>932</v>
      </c>
      <c r="L232" s="6" t="s">
        <v>401</v>
      </c>
      <c r="M232" s="6" t="s">
        <v>402</v>
      </c>
      <c r="N232" s="6" t="s">
        <v>400</v>
      </c>
      <c r="O232" s="20" t="s">
        <v>933</v>
      </c>
      <c r="P232" s="20" t="s">
        <v>269</v>
      </c>
      <c r="Q232" s="22" t="s">
        <v>403</v>
      </c>
      <c r="R232" s="6" t="s">
        <v>937</v>
      </c>
      <c r="S232" s="6" t="s">
        <v>935</v>
      </c>
    </row>
    <row r="233" ht="45" customHeight="1" spans="1:19" x14ac:dyDescent="0.25">
      <c r="A233" s="20" t="s">
        <v>397</v>
      </c>
      <c r="B233" s="20" t="s">
        <v>398</v>
      </c>
      <c r="C233" s="6" t="s">
        <v>936</v>
      </c>
      <c r="D233" s="6" t="s">
        <v>940</v>
      </c>
      <c r="E233" s="20">
        <v>20</v>
      </c>
      <c r="F233" s="20">
        <v>40</v>
      </c>
      <c r="G233" s="20" t="s">
        <v>667</v>
      </c>
      <c r="H233" s="27">
        <v>282</v>
      </c>
      <c r="I233" s="20" t="s">
        <v>668</v>
      </c>
      <c r="J233" s="6" t="s">
        <v>931</v>
      </c>
      <c r="K233" s="6" t="s">
        <v>932</v>
      </c>
      <c r="L233" s="6" t="s">
        <v>401</v>
      </c>
      <c r="M233" s="6" t="s">
        <v>402</v>
      </c>
      <c r="N233" s="6" t="s">
        <v>400</v>
      </c>
      <c r="O233" s="20" t="s">
        <v>933</v>
      </c>
      <c r="P233" s="20" t="s">
        <v>269</v>
      </c>
      <c r="Q233" s="22" t="s">
        <v>403</v>
      </c>
      <c r="R233" s="6" t="s">
        <v>937</v>
      </c>
      <c r="S233" s="6" t="s">
        <v>938</v>
      </c>
    </row>
    <row r="234" ht="45" customHeight="1" spans="1:19" x14ac:dyDescent="0.25">
      <c r="A234" s="20" t="s">
        <v>397</v>
      </c>
      <c r="B234" s="20" t="s">
        <v>398</v>
      </c>
      <c r="C234" s="6" t="s">
        <v>936</v>
      </c>
      <c r="D234" s="6" t="s">
        <v>940</v>
      </c>
      <c r="E234" s="20">
        <v>20</v>
      </c>
      <c r="F234" s="20">
        <v>40</v>
      </c>
      <c r="G234" s="20" t="s">
        <v>674</v>
      </c>
      <c r="H234" s="27">
        <v>2194</v>
      </c>
      <c r="I234" s="20" t="s">
        <v>668</v>
      </c>
      <c r="J234" s="6" t="s">
        <v>931</v>
      </c>
      <c r="K234" s="6" t="s">
        <v>932</v>
      </c>
      <c r="L234" s="6" t="s">
        <v>401</v>
      </c>
      <c r="M234" s="6" t="s">
        <v>402</v>
      </c>
      <c r="N234" s="6" t="s">
        <v>400</v>
      </c>
      <c r="O234" s="20" t="s">
        <v>933</v>
      </c>
      <c r="P234" s="20" t="s">
        <v>269</v>
      </c>
      <c r="Q234" s="22" t="s">
        <v>403</v>
      </c>
      <c r="R234" s="6" t="s">
        <v>937</v>
      </c>
      <c r="S234" s="6" t="s">
        <v>938</v>
      </c>
    </row>
    <row r="235" ht="45" customHeight="1" spans="1:19" x14ac:dyDescent="0.25">
      <c r="A235" s="20" t="s">
        <v>397</v>
      </c>
      <c r="B235" s="20" t="s">
        <v>398</v>
      </c>
      <c r="C235" s="6" t="s">
        <v>929</v>
      </c>
      <c r="D235" s="6" t="s">
        <v>941</v>
      </c>
      <c r="E235" s="20">
        <v>40</v>
      </c>
      <c r="F235" s="20"/>
      <c r="G235" s="20" t="s">
        <v>667</v>
      </c>
      <c r="H235" s="27">
        <v>166</v>
      </c>
      <c r="I235" s="20" t="s">
        <v>668</v>
      </c>
      <c r="J235" s="6" t="s">
        <v>931</v>
      </c>
      <c r="K235" s="6" t="s">
        <v>932</v>
      </c>
      <c r="L235" s="6" t="s">
        <v>401</v>
      </c>
      <c r="M235" s="6" t="s">
        <v>402</v>
      </c>
      <c r="N235" s="6" t="s">
        <v>400</v>
      </c>
      <c r="O235" s="20" t="s">
        <v>933</v>
      </c>
      <c r="P235" s="20" t="s">
        <v>269</v>
      </c>
      <c r="Q235" s="22" t="s">
        <v>403</v>
      </c>
      <c r="R235" s="6" t="s">
        <v>937</v>
      </c>
      <c r="S235" s="6" t="s">
        <v>935</v>
      </c>
    </row>
    <row r="236" ht="45" customHeight="1" spans="1:19" x14ac:dyDescent="0.25">
      <c r="A236" s="20" t="s">
        <v>397</v>
      </c>
      <c r="B236" s="20" t="s">
        <v>398</v>
      </c>
      <c r="C236" s="6" t="s">
        <v>929</v>
      </c>
      <c r="D236" s="6" t="s">
        <v>941</v>
      </c>
      <c r="E236" s="20">
        <v>40</v>
      </c>
      <c r="F236" s="20"/>
      <c r="G236" s="20" t="s">
        <v>674</v>
      </c>
      <c r="H236" s="27">
        <v>1755</v>
      </c>
      <c r="I236" s="20" t="s">
        <v>668</v>
      </c>
      <c r="J236" s="6" t="s">
        <v>931</v>
      </c>
      <c r="K236" s="6" t="s">
        <v>932</v>
      </c>
      <c r="L236" s="6" t="s">
        <v>401</v>
      </c>
      <c r="M236" s="6" t="s">
        <v>402</v>
      </c>
      <c r="N236" s="6" t="s">
        <v>400</v>
      </c>
      <c r="O236" s="20" t="s">
        <v>933</v>
      </c>
      <c r="P236" s="20" t="s">
        <v>269</v>
      </c>
      <c r="Q236" s="22" t="s">
        <v>403</v>
      </c>
      <c r="R236" s="6" t="s">
        <v>937</v>
      </c>
      <c r="S236" s="6" t="s">
        <v>935</v>
      </c>
    </row>
    <row r="237" ht="45" customHeight="1" spans="1:19" x14ac:dyDescent="0.25">
      <c r="A237" s="20" t="s">
        <v>397</v>
      </c>
      <c r="B237" s="20" t="s">
        <v>398</v>
      </c>
      <c r="C237" s="6" t="s">
        <v>936</v>
      </c>
      <c r="D237" s="6" t="s">
        <v>941</v>
      </c>
      <c r="E237" s="20">
        <v>40</v>
      </c>
      <c r="F237" s="20"/>
      <c r="G237" s="20" t="s">
        <v>667</v>
      </c>
      <c r="H237" s="27">
        <v>421</v>
      </c>
      <c r="I237" s="20" t="s">
        <v>668</v>
      </c>
      <c r="J237" s="6" t="s">
        <v>931</v>
      </c>
      <c r="K237" s="6" t="s">
        <v>932</v>
      </c>
      <c r="L237" s="6" t="s">
        <v>401</v>
      </c>
      <c r="M237" s="6" t="s">
        <v>402</v>
      </c>
      <c r="N237" s="6" t="s">
        <v>400</v>
      </c>
      <c r="O237" s="20" t="s">
        <v>933</v>
      </c>
      <c r="P237" s="20" t="s">
        <v>269</v>
      </c>
      <c r="Q237" s="22" t="s">
        <v>403</v>
      </c>
      <c r="R237" s="6" t="s">
        <v>937</v>
      </c>
      <c r="S237" s="6" t="s">
        <v>938</v>
      </c>
    </row>
    <row r="238" ht="45" customHeight="1" spans="1:19" x14ac:dyDescent="0.25">
      <c r="A238" s="20" t="s">
        <v>397</v>
      </c>
      <c r="B238" s="20" t="s">
        <v>398</v>
      </c>
      <c r="C238" s="6" t="s">
        <v>936</v>
      </c>
      <c r="D238" s="6" t="s">
        <v>941</v>
      </c>
      <c r="E238" s="20">
        <v>40</v>
      </c>
      <c r="F238" s="20"/>
      <c r="G238" s="20" t="s">
        <v>674</v>
      </c>
      <c r="H238" s="27">
        <v>3290</v>
      </c>
      <c r="I238" s="20" t="s">
        <v>668</v>
      </c>
      <c r="J238" s="6" t="s">
        <v>931</v>
      </c>
      <c r="K238" s="6" t="s">
        <v>932</v>
      </c>
      <c r="L238" s="6" t="s">
        <v>401</v>
      </c>
      <c r="M238" s="6" t="s">
        <v>402</v>
      </c>
      <c r="N238" s="6" t="s">
        <v>400</v>
      </c>
      <c r="O238" s="20" t="s">
        <v>933</v>
      </c>
      <c r="P238" s="20" t="s">
        <v>269</v>
      </c>
      <c r="Q238" s="22" t="s">
        <v>403</v>
      </c>
      <c r="R238" s="6" t="s">
        <v>937</v>
      </c>
      <c r="S238" s="6" t="s">
        <v>938</v>
      </c>
    </row>
    <row r="239" ht="45" customHeight="1" spans="1:19" x14ac:dyDescent="0.25">
      <c r="A239" s="20" t="s">
        <v>397</v>
      </c>
      <c r="B239" s="20" t="s">
        <v>398</v>
      </c>
      <c r="C239" s="6" t="s">
        <v>929</v>
      </c>
      <c r="D239" s="6" t="s">
        <v>942</v>
      </c>
      <c r="E239" s="20">
        <v>5</v>
      </c>
      <c r="F239" s="20">
        <v>7.5</v>
      </c>
      <c r="G239" s="20" t="s">
        <v>706</v>
      </c>
      <c r="H239" s="27"/>
      <c r="I239" s="20" t="s">
        <v>668</v>
      </c>
      <c r="J239" s="6" t="s">
        <v>931</v>
      </c>
      <c r="K239" s="6" t="s">
        <v>932</v>
      </c>
      <c r="L239" s="6" t="s">
        <v>401</v>
      </c>
      <c r="M239" s="6" t="s">
        <v>402</v>
      </c>
      <c r="N239" s="6" t="s">
        <v>400</v>
      </c>
      <c r="O239" s="20" t="s">
        <v>933</v>
      </c>
      <c r="P239" s="20" t="s">
        <v>269</v>
      </c>
      <c r="Q239" s="22" t="s">
        <v>403</v>
      </c>
      <c r="R239" s="6" t="s">
        <v>934</v>
      </c>
      <c r="S239" s="6" t="s">
        <v>935</v>
      </c>
    </row>
    <row r="240" ht="45" customHeight="1" spans="1:19" x14ac:dyDescent="0.25">
      <c r="A240" s="20" t="s">
        <v>397</v>
      </c>
      <c r="B240" s="20" t="s">
        <v>398</v>
      </c>
      <c r="C240" s="6" t="s">
        <v>936</v>
      </c>
      <c r="D240" s="6" t="s">
        <v>942</v>
      </c>
      <c r="E240" s="20">
        <v>5</v>
      </c>
      <c r="F240" s="20">
        <v>7.5</v>
      </c>
      <c r="G240" s="20" t="s">
        <v>667</v>
      </c>
      <c r="H240" s="27">
        <v>71</v>
      </c>
      <c r="I240" s="20" t="s">
        <v>668</v>
      </c>
      <c r="J240" s="6" t="s">
        <v>931</v>
      </c>
      <c r="K240" s="6" t="s">
        <v>932</v>
      </c>
      <c r="L240" s="6" t="s">
        <v>401</v>
      </c>
      <c r="M240" s="6" t="s">
        <v>402</v>
      </c>
      <c r="N240" s="6" t="s">
        <v>400</v>
      </c>
      <c r="O240" s="20" t="s">
        <v>933</v>
      </c>
      <c r="P240" s="20" t="s">
        <v>269</v>
      </c>
      <c r="Q240" s="22" t="s">
        <v>403</v>
      </c>
      <c r="R240" s="6" t="s">
        <v>937</v>
      </c>
      <c r="S240" s="6" t="s">
        <v>938</v>
      </c>
    </row>
    <row r="241" ht="45" customHeight="1" spans="1:19" x14ac:dyDescent="0.25">
      <c r="A241" s="20" t="s">
        <v>397</v>
      </c>
      <c r="B241" s="20" t="s">
        <v>398</v>
      </c>
      <c r="C241" s="6" t="s">
        <v>936</v>
      </c>
      <c r="D241" s="6" t="s">
        <v>942</v>
      </c>
      <c r="E241" s="20">
        <v>5</v>
      </c>
      <c r="F241" s="20">
        <v>7.5</v>
      </c>
      <c r="G241" s="20" t="s">
        <v>674</v>
      </c>
      <c r="H241" s="27">
        <v>549</v>
      </c>
      <c r="I241" s="20" t="s">
        <v>668</v>
      </c>
      <c r="J241" s="6" t="s">
        <v>931</v>
      </c>
      <c r="K241" s="6" t="s">
        <v>932</v>
      </c>
      <c r="L241" s="6" t="s">
        <v>401</v>
      </c>
      <c r="M241" s="6" t="s">
        <v>402</v>
      </c>
      <c r="N241" s="6" t="s">
        <v>400</v>
      </c>
      <c r="O241" s="20" t="s">
        <v>933</v>
      </c>
      <c r="P241" s="20" t="s">
        <v>269</v>
      </c>
      <c r="Q241" s="22" t="s">
        <v>403</v>
      </c>
      <c r="R241" s="6" t="s">
        <v>937</v>
      </c>
      <c r="S241" s="6" t="s">
        <v>938</v>
      </c>
    </row>
    <row r="242" ht="45" customHeight="1" spans="1:19" x14ac:dyDescent="0.25">
      <c r="A242" s="20" t="s">
        <v>397</v>
      </c>
      <c r="B242" s="20" t="s">
        <v>398</v>
      </c>
      <c r="C242" s="6" t="s">
        <v>929</v>
      </c>
      <c r="D242" s="6" t="s">
        <v>943</v>
      </c>
      <c r="E242" s="20">
        <v>7.5</v>
      </c>
      <c r="F242" s="20">
        <v>20</v>
      </c>
      <c r="G242" s="20" t="s">
        <v>667</v>
      </c>
      <c r="H242" s="27">
        <v>36</v>
      </c>
      <c r="I242" s="20" t="s">
        <v>668</v>
      </c>
      <c r="J242" s="6" t="s">
        <v>931</v>
      </c>
      <c r="K242" s="6" t="s">
        <v>932</v>
      </c>
      <c r="L242" s="6" t="s">
        <v>401</v>
      </c>
      <c r="M242" s="6" t="s">
        <v>402</v>
      </c>
      <c r="N242" s="6" t="s">
        <v>400</v>
      </c>
      <c r="O242" s="20" t="s">
        <v>933</v>
      </c>
      <c r="P242" s="20" t="s">
        <v>269</v>
      </c>
      <c r="Q242" s="22" t="s">
        <v>403</v>
      </c>
      <c r="R242" s="6" t="s">
        <v>937</v>
      </c>
      <c r="S242" s="6" t="s">
        <v>935</v>
      </c>
    </row>
    <row r="243" ht="45" customHeight="1" spans="1:19" x14ac:dyDescent="0.25">
      <c r="A243" s="20" t="s">
        <v>397</v>
      </c>
      <c r="B243" s="20" t="s">
        <v>398</v>
      </c>
      <c r="C243" s="6" t="s">
        <v>929</v>
      </c>
      <c r="D243" s="6" t="s">
        <v>943</v>
      </c>
      <c r="E243" s="20">
        <v>7.5</v>
      </c>
      <c r="F243" s="20">
        <v>20</v>
      </c>
      <c r="G243" s="20" t="s">
        <v>674</v>
      </c>
      <c r="H243" s="27">
        <v>383</v>
      </c>
      <c r="I243" s="20" t="s">
        <v>668</v>
      </c>
      <c r="J243" s="6" t="s">
        <v>931</v>
      </c>
      <c r="K243" s="6" t="s">
        <v>932</v>
      </c>
      <c r="L243" s="6" t="s">
        <v>401</v>
      </c>
      <c r="M243" s="6" t="s">
        <v>402</v>
      </c>
      <c r="N243" s="6" t="s">
        <v>400</v>
      </c>
      <c r="O243" s="20" t="s">
        <v>933</v>
      </c>
      <c r="P243" s="20" t="s">
        <v>269</v>
      </c>
      <c r="Q243" s="22" t="s">
        <v>403</v>
      </c>
      <c r="R243" s="6" t="s">
        <v>937</v>
      </c>
      <c r="S243" s="6" t="s">
        <v>935</v>
      </c>
    </row>
    <row r="244" ht="45" customHeight="1" spans="1:19" x14ac:dyDescent="0.25">
      <c r="A244" s="20" t="s">
        <v>397</v>
      </c>
      <c r="B244" s="20" t="s">
        <v>398</v>
      </c>
      <c r="C244" s="6" t="s">
        <v>936</v>
      </c>
      <c r="D244" s="6" t="s">
        <v>943</v>
      </c>
      <c r="E244" s="20">
        <v>7.5</v>
      </c>
      <c r="F244" s="20">
        <v>20</v>
      </c>
      <c r="G244" s="20" t="s">
        <v>667</v>
      </c>
      <c r="H244" s="27">
        <v>140</v>
      </c>
      <c r="I244" s="20" t="s">
        <v>668</v>
      </c>
      <c r="J244" s="6" t="s">
        <v>931</v>
      </c>
      <c r="K244" s="6" t="s">
        <v>932</v>
      </c>
      <c r="L244" s="6" t="s">
        <v>401</v>
      </c>
      <c r="M244" s="6" t="s">
        <v>402</v>
      </c>
      <c r="N244" s="6" t="s">
        <v>400</v>
      </c>
      <c r="O244" s="20" t="s">
        <v>933</v>
      </c>
      <c r="P244" s="20" t="s">
        <v>269</v>
      </c>
      <c r="Q244" s="22" t="s">
        <v>403</v>
      </c>
      <c r="R244" s="6" t="s">
        <v>937</v>
      </c>
      <c r="S244" s="6" t="s">
        <v>938</v>
      </c>
    </row>
    <row r="245" ht="45" customHeight="1" spans="1:19" x14ac:dyDescent="0.25">
      <c r="A245" s="20" t="s">
        <v>397</v>
      </c>
      <c r="B245" s="20" t="s">
        <v>398</v>
      </c>
      <c r="C245" s="6" t="s">
        <v>936</v>
      </c>
      <c r="D245" s="6" t="s">
        <v>943</v>
      </c>
      <c r="E245" s="20">
        <v>7.5</v>
      </c>
      <c r="F245" s="20">
        <v>20</v>
      </c>
      <c r="G245" s="20" t="s">
        <v>674</v>
      </c>
      <c r="H245" s="27">
        <v>1096</v>
      </c>
      <c r="I245" s="20" t="s">
        <v>668</v>
      </c>
      <c r="J245" s="6" t="s">
        <v>931</v>
      </c>
      <c r="K245" s="6" t="s">
        <v>932</v>
      </c>
      <c r="L245" s="6" t="s">
        <v>401</v>
      </c>
      <c r="M245" s="6" t="s">
        <v>402</v>
      </c>
      <c r="N245" s="6" t="s">
        <v>400</v>
      </c>
      <c r="O245" s="20" t="s">
        <v>933</v>
      </c>
      <c r="P245" s="20" t="s">
        <v>269</v>
      </c>
      <c r="Q245" s="22" t="s">
        <v>403</v>
      </c>
      <c r="R245" s="6" t="s">
        <v>937</v>
      </c>
      <c r="S245" s="6" t="s">
        <v>938</v>
      </c>
    </row>
    <row r="246" ht="45" customHeight="1" spans="1:19" x14ac:dyDescent="0.25">
      <c r="A246" s="20" t="s">
        <v>397</v>
      </c>
      <c r="B246" s="20" t="s">
        <v>398</v>
      </c>
      <c r="C246" s="6" t="s">
        <v>929</v>
      </c>
      <c r="D246" s="6" t="s">
        <v>944</v>
      </c>
      <c r="E246" s="20">
        <v>20</v>
      </c>
      <c r="F246" s="20">
        <v>40</v>
      </c>
      <c r="G246" s="20" t="s">
        <v>667</v>
      </c>
      <c r="H246" s="27">
        <v>52</v>
      </c>
      <c r="I246" s="20" t="s">
        <v>668</v>
      </c>
      <c r="J246" s="6" t="s">
        <v>931</v>
      </c>
      <c r="K246" s="6" t="s">
        <v>932</v>
      </c>
      <c r="L246" s="6" t="s">
        <v>401</v>
      </c>
      <c r="M246" s="6" t="s">
        <v>402</v>
      </c>
      <c r="N246" s="6" t="s">
        <v>400</v>
      </c>
      <c r="O246" s="20" t="s">
        <v>933</v>
      </c>
      <c r="P246" s="20" t="s">
        <v>269</v>
      </c>
      <c r="Q246" s="22" t="s">
        <v>403</v>
      </c>
      <c r="R246" s="6" t="s">
        <v>937</v>
      </c>
      <c r="S246" s="6" t="s">
        <v>935</v>
      </c>
    </row>
    <row r="247" ht="45" customHeight="1" spans="1:19" x14ac:dyDescent="0.25">
      <c r="A247" s="20" t="s">
        <v>397</v>
      </c>
      <c r="B247" s="20" t="s">
        <v>398</v>
      </c>
      <c r="C247" s="6" t="s">
        <v>929</v>
      </c>
      <c r="D247" s="6" t="s">
        <v>944</v>
      </c>
      <c r="E247" s="20">
        <v>20</v>
      </c>
      <c r="F247" s="20">
        <v>40</v>
      </c>
      <c r="G247" s="20" t="s">
        <v>674</v>
      </c>
      <c r="H247" s="27">
        <v>549</v>
      </c>
      <c r="I247" s="20" t="s">
        <v>668</v>
      </c>
      <c r="J247" s="6" t="s">
        <v>931</v>
      </c>
      <c r="K247" s="6" t="s">
        <v>932</v>
      </c>
      <c r="L247" s="6" t="s">
        <v>401</v>
      </c>
      <c r="M247" s="6" t="s">
        <v>402</v>
      </c>
      <c r="N247" s="6" t="s">
        <v>400</v>
      </c>
      <c r="O247" s="20" t="s">
        <v>933</v>
      </c>
      <c r="P247" s="20" t="s">
        <v>269</v>
      </c>
      <c r="Q247" s="22" t="s">
        <v>403</v>
      </c>
      <c r="R247" s="6" t="s">
        <v>937</v>
      </c>
      <c r="S247" s="6" t="s">
        <v>935</v>
      </c>
    </row>
    <row r="248" ht="45" customHeight="1" spans="1:19" x14ac:dyDescent="0.25">
      <c r="A248" s="20" t="s">
        <v>397</v>
      </c>
      <c r="B248" s="20" t="s">
        <v>398</v>
      </c>
      <c r="C248" s="6" t="s">
        <v>936</v>
      </c>
      <c r="D248" s="6" t="s">
        <v>944</v>
      </c>
      <c r="E248" s="20">
        <v>20</v>
      </c>
      <c r="F248" s="20">
        <v>40</v>
      </c>
      <c r="G248" s="20" t="s">
        <v>667</v>
      </c>
      <c r="H248" s="27">
        <v>211</v>
      </c>
      <c r="I248" s="20" t="s">
        <v>668</v>
      </c>
      <c r="J248" s="6" t="s">
        <v>931</v>
      </c>
      <c r="K248" s="6" t="s">
        <v>932</v>
      </c>
      <c r="L248" s="6" t="s">
        <v>401</v>
      </c>
      <c r="M248" s="6" t="s">
        <v>402</v>
      </c>
      <c r="N248" s="6" t="s">
        <v>400</v>
      </c>
      <c r="O248" s="20" t="s">
        <v>933</v>
      </c>
      <c r="P248" s="20" t="s">
        <v>269</v>
      </c>
      <c r="Q248" s="22" t="s">
        <v>403</v>
      </c>
      <c r="R248" s="6" t="s">
        <v>937</v>
      </c>
      <c r="S248" s="6" t="s">
        <v>938</v>
      </c>
    </row>
    <row r="249" ht="45" customHeight="1" spans="1:19" x14ac:dyDescent="0.25">
      <c r="A249" s="20" t="s">
        <v>397</v>
      </c>
      <c r="B249" s="20" t="s">
        <v>398</v>
      </c>
      <c r="C249" s="6" t="s">
        <v>936</v>
      </c>
      <c r="D249" s="6" t="s">
        <v>944</v>
      </c>
      <c r="E249" s="20">
        <v>20</v>
      </c>
      <c r="F249" s="20">
        <v>40</v>
      </c>
      <c r="G249" s="20" t="s">
        <v>674</v>
      </c>
      <c r="H249" s="27">
        <v>1646</v>
      </c>
      <c r="I249" s="20" t="s">
        <v>668</v>
      </c>
      <c r="J249" s="6" t="s">
        <v>931</v>
      </c>
      <c r="K249" s="6" t="s">
        <v>932</v>
      </c>
      <c r="L249" s="6" t="s">
        <v>401</v>
      </c>
      <c r="M249" s="6" t="s">
        <v>402</v>
      </c>
      <c r="N249" s="6" t="s">
        <v>400</v>
      </c>
      <c r="O249" s="20" t="s">
        <v>933</v>
      </c>
      <c r="P249" s="20" t="s">
        <v>269</v>
      </c>
      <c r="Q249" s="22" t="s">
        <v>403</v>
      </c>
      <c r="R249" s="6" t="s">
        <v>937</v>
      </c>
      <c r="S249" s="6" t="s">
        <v>938</v>
      </c>
    </row>
    <row r="250" ht="45" customHeight="1" spans="1:19" x14ac:dyDescent="0.25">
      <c r="A250" s="20" t="s">
        <v>397</v>
      </c>
      <c r="B250" s="20" t="s">
        <v>398</v>
      </c>
      <c r="C250" s="6" t="s">
        <v>929</v>
      </c>
      <c r="D250" s="6" t="s">
        <v>945</v>
      </c>
      <c r="E250" s="20">
        <v>40</v>
      </c>
      <c r="F250" s="20"/>
      <c r="G250" s="20" t="s">
        <v>667</v>
      </c>
      <c r="H250" s="27">
        <v>78</v>
      </c>
      <c r="I250" s="20" t="s">
        <v>668</v>
      </c>
      <c r="J250" s="6" t="s">
        <v>931</v>
      </c>
      <c r="K250" s="6" t="s">
        <v>932</v>
      </c>
      <c r="L250" s="6" t="s">
        <v>401</v>
      </c>
      <c r="M250" s="6" t="s">
        <v>402</v>
      </c>
      <c r="N250" s="6" t="s">
        <v>400</v>
      </c>
      <c r="O250" s="20" t="s">
        <v>933</v>
      </c>
      <c r="P250" s="20" t="s">
        <v>269</v>
      </c>
      <c r="Q250" s="22" t="s">
        <v>403</v>
      </c>
      <c r="R250" s="6" t="s">
        <v>937</v>
      </c>
      <c r="S250" s="6" t="s">
        <v>935</v>
      </c>
    </row>
    <row r="251" ht="45" customHeight="1" spans="1:19" x14ac:dyDescent="0.25">
      <c r="A251" s="20" t="s">
        <v>397</v>
      </c>
      <c r="B251" s="20" t="s">
        <v>398</v>
      </c>
      <c r="C251" s="6" t="s">
        <v>929</v>
      </c>
      <c r="D251" s="6" t="s">
        <v>945</v>
      </c>
      <c r="E251" s="20">
        <v>40</v>
      </c>
      <c r="F251" s="20"/>
      <c r="G251" s="20" t="s">
        <v>674</v>
      </c>
      <c r="H251" s="27">
        <v>822</v>
      </c>
      <c r="I251" s="20" t="s">
        <v>668</v>
      </c>
      <c r="J251" s="6" t="s">
        <v>931</v>
      </c>
      <c r="K251" s="6" t="s">
        <v>932</v>
      </c>
      <c r="L251" s="6" t="s">
        <v>401</v>
      </c>
      <c r="M251" s="6" t="s">
        <v>402</v>
      </c>
      <c r="N251" s="6" t="s">
        <v>400</v>
      </c>
      <c r="O251" s="20" t="s">
        <v>933</v>
      </c>
      <c r="P251" s="20" t="s">
        <v>269</v>
      </c>
      <c r="Q251" s="22" t="s">
        <v>403</v>
      </c>
      <c r="R251" s="6" t="s">
        <v>937</v>
      </c>
      <c r="S251" s="6" t="s">
        <v>935</v>
      </c>
    </row>
    <row r="252" ht="45" customHeight="1" spans="1:19" x14ac:dyDescent="0.25">
      <c r="A252" s="20" t="s">
        <v>397</v>
      </c>
      <c r="B252" s="20" t="s">
        <v>398</v>
      </c>
      <c r="C252" s="6" t="s">
        <v>936</v>
      </c>
      <c r="D252" s="6" t="s">
        <v>945</v>
      </c>
      <c r="E252" s="20">
        <v>40</v>
      </c>
      <c r="F252" s="20"/>
      <c r="G252" s="20" t="s">
        <v>667</v>
      </c>
      <c r="H252" s="27">
        <v>282</v>
      </c>
      <c r="I252" s="20" t="s">
        <v>668</v>
      </c>
      <c r="J252" s="6" t="s">
        <v>931</v>
      </c>
      <c r="K252" s="6" t="s">
        <v>932</v>
      </c>
      <c r="L252" s="6" t="s">
        <v>401</v>
      </c>
      <c r="M252" s="6" t="s">
        <v>402</v>
      </c>
      <c r="N252" s="6" t="s">
        <v>400</v>
      </c>
      <c r="O252" s="20" t="s">
        <v>933</v>
      </c>
      <c r="P252" s="20" t="s">
        <v>269</v>
      </c>
      <c r="Q252" s="22" t="s">
        <v>403</v>
      </c>
      <c r="R252" s="6" t="s">
        <v>937</v>
      </c>
      <c r="S252" s="6" t="s">
        <v>938</v>
      </c>
    </row>
    <row r="253" ht="45" customHeight="1" spans="1:19" x14ac:dyDescent="0.25">
      <c r="A253" s="20" t="s">
        <v>397</v>
      </c>
      <c r="B253" s="20" t="s">
        <v>398</v>
      </c>
      <c r="C253" s="6" t="s">
        <v>936</v>
      </c>
      <c r="D253" s="6" t="s">
        <v>945</v>
      </c>
      <c r="E253" s="20">
        <v>40</v>
      </c>
      <c r="F253" s="20"/>
      <c r="G253" s="20" t="s">
        <v>674</v>
      </c>
      <c r="H253" s="27">
        <v>2194</v>
      </c>
      <c r="I253" s="20" t="s">
        <v>668</v>
      </c>
      <c r="J253" s="6" t="s">
        <v>931</v>
      </c>
      <c r="K253" s="6" t="s">
        <v>932</v>
      </c>
      <c r="L253" s="6" t="s">
        <v>401</v>
      </c>
      <c r="M253" s="6" t="s">
        <v>402</v>
      </c>
      <c r="N253" s="6" t="s">
        <v>400</v>
      </c>
      <c r="O253" s="20" t="s">
        <v>933</v>
      </c>
      <c r="P253" s="20" t="s">
        <v>269</v>
      </c>
      <c r="Q253" s="22" t="s">
        <v>403</v>
      </c>
      <c r="R253" s="6" t="s">
        <v>937</v>
      </c>
      <c r="S253" s="6" t="s">
        <v>938</v>
      </c>
    </row>
    <row r="254" ht="45" customHeight="1" spans="1:19" x14ac:dyDescent="0.25">
      <c r="A254" s="20" t="s">
        <v>397</v>
      </c>
      <c r="B254" s="20" t="s">
        <v>398</v>
      </c>
      <c r="C254" s="6" t="s">
        <v>929</v>
      </c>
      <c r="D254" s="6" t="s">
        <v>946</v>
      </c>
      <c r="E254" s="20"/>
      <c r="F254" s="20"/>
      <c r="G254" s="20" t="s">
        <v>667</v>
      </c>
      <c r="H254" s="27">
        <v>415</v>
      </c>
      <c r="I254" s="20" t="s">
        <v>668</v>
      </c>
      <c r="J254" s="6" t="s">
        <v>931</v>
      </c>
      <c r="K254" s="6" t="s">
        <v>932</v>
      </c>
      <c r="L254" s="6" t="s">
        <v>401</v>
      </c>
      <c r="M254" s="6" t="s">
        <v>402</v>
      </c>
      <c r="N254" s="6" t="s">
        <v>400</v>
      </c>
      <c r="O254" s="20" t="s">
        <v>933</v>
      </c>
      <c r="P254" s="20" t="s">
        <v>269</v>
      </c>
      <c r="Q254" s="22" t="s">
        <v>403</v>
      </c>
      <c r="R254" s="6" t="s">
        <v>947</v>
      </c>
      <c r="S254" s="6" t="s">
        <v>935</v>
      </c>
    </row>
    <row r="255" ht="45" customHeight="1" spans="1:19" x14ac:dyDescent="0.25">
      <c r="A255" s="20" t="s">
        <v>397</v>
      </c>
      <c r="B255" s="20" t="s">
        <v>398</v>
      </c>
      <c r="C255" s="6" t="s">
        <v>936</v>
      </c>
      <c r="D255" s="6" t="s">
        <v>946</v>
      </c>
      <c r="E255" s="20"/>
      <c r="F255" s="20"/>
      <c r="G255" s="20" t="s">
        <v>667</v>
      </c>
      <c r="H255" s="27">
        <v>702</v>
      </c>
      <c r="I255" s="20" t="s">
        <v>668</v>
      </c>
      <c r="J255" s="6" t="s">
        <v>931</v>
      </c>
      <c r="K255" s="6" t="s">
        <v>932</v>
      </c>
      <c r="L255" s="6" t="s">
        <v>401</v>
      </c>
      <c r="M255" s="6" t="s">
        <v>402</v>
      </c>
      <c r="N255" s="6" t="s">
        <v>400</v>
      </c>
      <c r="O255" s="20" t="s">
        <v>933</v>
      </c>
      <c r="P255" s="20" t="s">
        <v>269</v>
      </c>
      <c r="Q255" s="22" t="s">
        <v>403</v>
      </c>
      <c r="R255" s="6" t="s">
        <v>937</v>
      </c>
      <c r="S255" s="6" t="s">
        <v>938</v>
      </c>
    </row>
    <row r="256" ht="45" customHeight="1" spans="1:19" x14ac:dyDescent="0.25">
      <c r="A256" s="20" t="s">
        <v>397</v>
      </c>
      <c r="B256" s="20" t="s">
        <v>398</v>
      </c>
      <c r="C256" s="6" t="s">
        <v>948</v>
      </c>
      <c r="D256" s="6" t="s">
        <v>715</v>
      </c>
      <c r="E256" s="20">
        <v>5</v>
      </c>
      <c r="F256" s="20"/>
      <c r="G256" s="20" t="s">
        <v>706</v>
      </c>
      <c r="H256" s="27"/>
      <c r="I256" s="20" t="s">
        <v>668</v>
      </c>
      <c r="J256" s="6"/>
      <c r="K256" s="6" t="s">
        <v>932</v>
      </c>
      <c r="L256" s="6" t="s">
        <v>401</v>
      </c>
      <c r="M256" s="6" t="s">
        <v>402</v>
      </c>
      <c r="N256" s="6" t="s">
        <v>400</v>
      </c>
      <c r="O256" s="20" t="s">
        <v>933</v>
      </c>
      <c r="P256" s="20" t="s">
        <v>269</v>
      </c>
      <c r="Q256" s="22" t="s">
        <v>403</v>
      </c>
      <c r="R256" s="6" t="s">
        <v>949</v>
      </c>
      <c r="S256" s="6" t="s">
        <v>950</v>
      </c>
    </row>
    <row r="257" ht="45" customHeight="1" spans="1:19" x14ac:dyDescent="0.25">
      <c r="A257" s="20" t="s">
        <v>404</v>
      </c>
      <c r="B257" s="20" t="s">
        <v>404</v>
      </c>
      <c r="C257" s="6" t="s">
        <v>951</v>
      </c>
      <c r="D257" s="6" t="s">
        <v>952</v>
      </c>
      <c r="E257" s="20">
        <v>3.5</v>
      </c>
      <c r="F257" s="20">
        <v>7.5</v>
      </c>
      <c r="G257" s="20" t="s">
        <v>667</v>
      </c>
      <c r="H257" s="27">
        <v>50</v>
      </c>
      <c r="I257" s="20" t="s">
        <v>668</v>
      </c>
      <c r="J257" s="6"/>
      <c r="K257" s="6" t="s">
        <v>953</v>
      </c>
      <c r="L257" s="6" t="s">
        <v>407</v>
      </c>
      <c r="M257" s="6" t="s">
        <v>408</v>
      </c>
      <c r="N257" s="6" t="s">
        <v>406</v>
      </c>
      <c r="O257" s="20" t="s">
        <v>954</v>
      </c>
      <c r="P257" s="20" t="s">
        <v>236</v>
      </c>
      <c r="Q257" s="22" t="s">
        <v>409</v>
      </c>
      <c r="R257" s="6" t="s">
        <v>955</v>
      </c>
      <c r="S257" s="6" t="s">
        <v>956</v>
      </c>
    </row>
    <row r="258" ht="45" customHeight="1" spans="1:19" x14ac:dyDescent="0.25">
      <c r="A258" s="20" t="s">
        <v>404</v>
      </c>
      <c r="B258" s="20" t="s">
        <v>404</v>
      </c>
      <c r="C258" s="6" t="s">
        <v>951</v>
      </c>
      <c r="D258" s="6" t="s">
        <v>952</v>
      </c>
      <c r="E258" s="20">
        <v>3.5</v>
      </c>
      <c r="F258" s="20">
        <v>7.5</v>
      </c>
      <c r="G258" s="20" t="s">
        <v>674</v>
      </c>
      <c r="H258" s="27">
        <v>200</v>
      </c>
      <c r="I258" s="20" t="s">
        <v>668</v>
      </c>
      <c r="J258" s="6"/>
      <c r="K258" s="6" t="s">
        <v>953</v>
      </c>
      <c r="L258" s="6" t="s">
        <v>407</v>
      </c>
      <c r="M258" s="6" t="s">
        <v>408</v>
      </c>
      <c r="N258" s="6" t="s">
        <v>406</v>
      </c>
      <c r="O258" s="20" t="s">
        <v>954</v>
      </c>
      <c r="P258" s="20" t="s">
        <v>236</v>
      </c>
      <c r="Q258" s="22" t="s">
        <v>409</v>
      </c>
      <c r="R258" s="6" t="s">
        <v>955</v>
      </c>
      <c r="S258" s="6" t="s">
        <v>956</v>
      </c>
    </row>
    <row r="259" ht="45" customHeight="1" spans="1:19" x14ac:dyDescent="0.25">
      <c r="A259" s="20" t="s">
        <v>404</v>
      </c>
      <c r="B259" s="20" t="s">
        <v>404</v>
      </c>
      <c r="C259" s="6" t="s">
        <v>957</v>
      </c>
      <c r="D259" s="6" t="s">
        <v>952</v>
      </c>
      <c r="E259" s="20">
        <v>3.5</v>
      </c>
      <c r="F259" s="20">
        <v>7.5</v>
      </c>
      <c r="G259" s="20" t="s">
        <v>667</v>
      </c>
      <c r="H259" s="27">
        <v>50</v>
      </c>
      <c r="I259" s="20" t="s">
        <v>668</v>
      </c>
      <c r="J259" s="6"/>
      <c r="K259" s="6" t="s">
        <v>953</v>
      </c>
      <c r="L259" s="6" t="s">
        <v>407</v>
      </c>
      <c r="M259" s="6" t="s">
        <v>408</v>
      </c>
      <c r="N259" s="6" t="s">
        <v>406</v>
      </c>
      <c r="O259" s="20" t="s">
        <v>954</v>
      </c>
      <c r="P259" s="20" t="s">
        <v>236</v>
      </c>
      <c r="Q259" s="22" t="s">
        <v>409</v>
      </c>
      <c r="R259" s="6" t="s">
        <v>955</v>
      </c>
      <c r="S259" s="6" t="s">
        <v>958</v>
      </c>
    </row>
    <row r="260" ht="45" customHeight="1" spans="1:19" x14ac:dyDescent="0.25">
      <c r="A260" s="20" t="s">
        <v>404</v>
      </c>
      <c r="B260" s="20" t="s">
        <v>404</v>
      </c>
      <c r="C260" s="6" t="s">
        <v>957</v>
      </c>
      <c r="D260" s="6" t="s">
        <v>952</v>
      </c>
      <c r="E260" s="20">
        <v>3.5</v>
      </c>
      <c r="F260" s="20">
        <v>7.5</v>
      </c>
      <c r="G260" s="20" t="s">
        <v>674</v>
      </c>
      <c r="H260" s="27">
        <v>200</v>
      </c>
      <c r="I260" s="20" t="s">
        <v>668</v>
      </c>
      <c r="J260" s="6"/>
      <c r="K260" s="6" t="s">
        <v>953</v>
      </c>
      <c r="L260" s="6" t="s">
        <v>407</v>
      </c>
      <c r="M260" s="6" t="s">
        <v>408</v>
      </c>
      <c r="N260" s="6" t="s">
        <v>406</v>
      </c>
      <c r="O260" s="20" t="s">
        <v>954</v>
      </c>
      <c r="P260" s="20" t="s">
        <v>236</v>
      </c>
      <c r="Q260" s="22" t="s">
        <v>409</v>
      </c>
      <c r="R260" s="6" t="s">
        <v>955</v>
      </c>
      <c r="S260" s="6" t="s">
        <v>958</v>
      </c>
    </row>
    <row r="261" ht="45" customHeight="1" spans="1:19" x14ac:dyDescent="0.25">
      <c r="A261" s="20" t="s">
        <v>404</v>
      </c>
      <c r="B261" s="20" t="s">
        <v>404</v>
      </c>
      <c r="C261" s="6" t="s">
        <v>951</v>
      </c>
      <c r="D261" s="6" t="s">
        <v>959</v>
      </c>
      <c r="E261" s="20">
        <v>7.5</v>
      </c>
      <c r="F261" s="20">
        <v>20</v>
      </c>
      <c r="G261" s="20" t="s">
        <v>667</v>
      </c>
      <c r="H261" s="27">
        <v>100</v>
      </c>
      <c r="I261" s="20" t="s">
        <v>668</v>
      </c>
      <c r="J261" s="6"/>
      <c r="K261" s="6" t="s">
        <v>953</v>
      </c>
      <c r="L261" s="6" t="s">
        <v>407</v>
      </c>
      <c r="M261" s="6" t="s">
        <v>408</v>
      </c>
      <c r="N261" s="6" t="s">
        <v>406</v>
      </c>
      <c r="O261" s="20" t="s">
        <v>954</v>
      </c>
      <c r="P261" s="20" t="s">
        <v>236</v>
      </c>
      <c r="Q261" s="22" t="s">
        <v>409</v>
      </c>
      <c r="R261" s="6" t="s">
        <v>955</v>
      </c>
      <c r="S261" s="6" t="s">
        <v>956</v>
      </c>
    </row>
    <row r="262" ht="45" customHeight="1" spans="1:19" x14ac:dyDescent="0.25">
      <c r="A262" s="20" t="s">
        <v>404</v>
      </c>
      <c r="B262" s="20" t="s">
        <v>404</v>
      </c>
      <c r="C262" s="6" t="s">
        <v>951</v>
      </c>
      <c r="D262" s="6" t="s">
        <v>959</v>
      </c>
      <c r="E262" s="20">
        <v>7.5</v>
      </c>
      <c r="F262" s="20">
        <v>20</v>
      </c>
      <c r="G262" s="20" t="s">
        <v>674</v>
      </c>
      <c r="H262" s="27">
        <v>600</v>
      </c>
      <c r="I262" s="20" t="s">
        <v>668</v>
      </c>
      <c r="J262" s="6"/>
      <c r="K262" s="6" t="s">
        <v>953</v>
      </c>
      <c r="L262" s="6" t="s">
        <v>407</v>
      </c>
      <c r="M262" s="6" t="s">
        <v>408</v>
      </c>
      <c r="N262" s="6" t="s">
        <v>406</v>
      </c>
      <c r="O262" s="20" t="s">
        <v>954</v>
      </c>
      <c r="P262" s="20" t="s">
        <v>236</v>
      </c>
      <c r="Q262" s="22" t="s">
        <v>409</v>
      </c>
      <c r="R262" s="6" t="s">
        <v>955</v>
      </c>
      <c r="S262" s="6" t="s">
        <v>956</v>
      </c>
    </row>
    <row r="263" ht="45" customHeight="1" spans="1:19" x14ac:dyDescent="0.25">
      <c r="A263" s="20" t="s">
        <v>404</v>
      </c>
      <c r="B263" s="20" t="s">
        <v>404</v>
      </c>
      <c r="C263" s="6" t="s">
        <v>957</v>
      </c>
      <c r="D263" s="6" t="s">
        <v>959</v>
      </c>
      <c r="E263" s="20">
        <v>7.5</v>
      </c>
      <c r="F263" s="20">
        <v>20</v>
      </c>
      <c r="G263" s="20" t="s">
        <v>667</v>
      </c>
      <c r="H263" s="27">
        <v>100</v>
      </c>
      <c r="I263" s="20" t="s">
        <v>668</v>
      </c>
      <c r="J263" s="6"/>
      <c r="K263" s="6" t="s">
        <v>953</v>
      </c>
      <c r="L263" s="6" t="s">
        <v>407</v>
      </c>
      <c r="M263" s="6" t="s">
        <v>408</v>
      </c>
      <c r="N263" s="6" t="s">
        <v>406</v>
      </c>
      <c r="O263" s="20" t="s">
        <v>954</v>
      </c>
      <c r="P263" s="20" t="s">
        <v>236</v>
      </c>
      <c r="Q263" s="22" t="s">
        <v>409</v>
      </c>
      <c r="R263" s="6" t="s">
        <v>955</v>
      </c>
      <c r="S263" s="6" t="s">
        <v>958</v>
      </c>
    </row>
    <row r="264" ht="45" customHeight="1" spans="1:19" x14ac:dyDescent="0.25">
      <c r="A264" s="20" t="s">
        <v>404</v>
      </c>
      <c r="B264" s="20" t="s">
        <v>404</v>
      </c>
      <c r="C264" s="6" t="s">
        <v>957</v>
      </c>
      <c r="D264" s="6" t="s">
        <v>959</v>
      </c>
      <c r="E264" s="20">
        <v>7.5</v>
      </c>
      <c r="F264" s="20">
        <v>20</v>
      </c>
      <c r="G264" s="20" t="s">
        <v>674</v>
      </c>
      <c r="H264" s="27">
        <v>400</v>
      </c>
      <c r="I264" s="20" t="s">
        <v>668</v>
      </c>
      <c r="J264" s="6"/>
      <c r="K264" s="6" t="s">
        <v>953</v>
      </c>
      <c r="L264" s="6" t="s">
        <v>407</v>
      </c>
      <c r="M264" s="6" t="s">
        <v>408</v>
      </c>
      <c r="N264" s="6" t="s">
        <v>406</v>
      </c>
      <c r="O264" s="20" t="s">
        <v>954</v>
      </c>
      <c r="P264" s="20" t="s">
        <v>236</v>
      </c>
      <c r="Q264" s="22" t="s">
        <v>409</v>
      </c>
      <c r="R264" s="6" t="s">
        <v>955</v>
      </c>
      <c r="S264" s="6" t="s">
        <v>958</v>
      </c>
    </row>
    <row r="265" ht="45" customHeight="1" spans="1:19" x14ac:dyDescent="0.25">
      <c r="A265" s="20" t="s">
        <v>404</v>
      </c>
      <c r="B265" s="20" t="s">
        <v>404</v>
      </c>
      <c r="C265" s="6" t="s">
        <v>951</v>
      </c>
      <c r="D265" s="6" t="s">
        <v>960</v>
      </c>
      <c r="E265" s="20">
        <v>20</v>
      </c>
      <c r="F265" s="20">
        <v>40</v>
      </c>
      <c r="G265" s="20" t="s">
        <v>667</v>
      </c>
      <c r="H265" s="27">
        <v>150</v>
      </c>
      <c r="I265" s="20" t="s">
        <v>668</v>
      </c>
      <c r="J265" s="6"/>
      <c r="K265" s="6" t="s">
        <v>953</v>
      </c>
      <c r="L265" s="6" t="s">
        <v>407</v>
      </c>
      <c r="M265" s="6" t="s">
        <v>408</v>
      </c>
      <c r="N265" s="6" t="s">
        <v>406</v>
      </c>
      <c r="O265" s="20" t="s">
        <v>954</v>
      </c>
      <c r="P265" s="20" t="s">
        <v>236</v>
      </c>
      <c r="Q265" s="22" t="s">
        <v>409</v>
      </c>
      <c r="R265" s="6" t="s">
        <v>955</v>
      </c>
      <c r="S265" s="6" t="s">
        <v>956</v>
      </c>
    </row>
    <row r="266" ht="45" customHeight="1" spans="1:19" x14ac:dyDescent="0.25">
      <c r="A266" s="20" t="s">
        <v>404</v>
      </c>
      <c r="B266" s="20" t="s">
        <v>404</v>
      </c>
      <c r="C266" s="6" t="s">
        <v>951</v>
      </c>
      <c r="D266" s="6" t="s">
        <v>960</v>
      </c>
      <c r="E266" s="20">
        <v>20</v>
      </c>
      <c r="F266" s="20">
        <v>40</v>
      </c>
      <c r="G266" s="20" t="s">
        <v>674</v>
      </c>
      <c r="H266" s="27">
        <v>800</v>
      </c>
      <c r="I266" s="20" t="s">
        <v>668</v>
      </c>
      <c r="J266" s="6"/>
      <c r="K266" s="6" t="s">
        <v>953</v>
      </c>
      <c r="L266" s="6" t="s">
        <v>407</v>
      </c>
      <c r="M266" s="6" t="s">
        <v>408</v>
      </c>
      <c r="N266" s="6" t="s">
        <v>406</v>
      </c>
      <c r="O266" s="20" t="s">
        <v>954</v>
      </c>
      <c r="P266" s="20" t="s">
        <v>236</v>
      </c>
      <c r="Q266" s="22" t="s">
        <v>409</v>
      </c>
      <c r="R266" s="6" t="s">
        <v>955</v>
      </c>
      <c r="S266" s="6" t="s">
        <v>956</v>
      </c>
    </row>
    <row r="267" ht="45" customHeight="1" spans="1:19" x14ac:dyDescent="0.25">
      <c r="A267" s="20" t="s">
        <v>404</v>
      </c>
      <c r="B267" s="20" t="s">
        <v>404</v>
      </c>
      <c r="C267" s="6" t="s">
        <v>957</v>
      </c>
      <c r="D267" s="6" t="s">
        <v>960</v>
      </c>
      <c r="E267" s="20">
        <v>20</v>
      </c>
      <c r="F267" s="20">
        <v>40</v>
      </c>
      <c r="G267" s="20" t="s">
        <v>667</v>
      </c>
      <c r="H267" s="27">
        <v>120</v>
      </c>
      <c r="I267" s="20" t="s">
        <v>668</v>
      </c>
      <c r="J267" s="6"/>
      <c r="K267" s="6" t="s">
        <v>953</v>
      </c>
      <c r="L267" s="6" t="s">
        <v>407</v>
      </c>
      <c r="M267" s="6" t="s">
        <v>408</v>
      </c>
      <c r="N267" s="6" t="s">
        <v>406</v>
      </c>
      <c r="O267" s="20" t="s">
        <v>954</v>
      </c>
      <c r="P267" s="20" t="s">
        <v>236</v>
      </c>
      <c r="Q267" s="22" t="s">
        <v>409</v>
      </c>
      <c r="R267" s="6" t="s">
        <v>955</v>
      </c>
      <c r="S267" s="6" t="s">
        <v>958</v>
      </c>
    </row>
    <row r="268" ht="45" customHeight="1" spans="1:19" x14ac:dyDescent="0.25">
      <c r="A268" s="20" t="s">
        <v>404</v>
      </c>
      <c r="B268" s="20" t="s">
        <v>404</v>
      </c>
      <c r="C268" s="6" t="s">
        <v>957</v>
      </c>
      <c r="D268" s="6" t="s">
        <v>960</v>
      </c>
      <c r="E268" s="20">
        <v>20</v>
      </c>
      <c r="F268" s="20">
        <v>40</v>
      </c>
      <c r="G268" s="20" t="s">
        <v>674</v>
      </c>
      <c r="H268" s="27">
        <v>600</v>
      </c>
      <c r="I268" s="20" t="s">
        <v>668</v>
      </c>
      <c r="J268" s="6"/>
      <c r="K268" s="6" t="s">
        <v>953</v>
      </c>
      <c r="L268" s="6" t="s">
        <v>407</v>
      </c>
      <c r="M268" s="6" t="s">
        <v>408</v>
      </c>
      <c r="N268" s="6" t="s">
        <v>406</v>
      </c>
      <c r="O268" s="20" t="s">
        <v>954</v>
      </c>
      <c r="P268" s="20" t="s">
        <v>236</v>
      </c>
      <c r="Q268" s="22" t="s">
        <v>409</v>
      </c>
      <c r="R268" s="6" t="s">
        <v>955</v>
      </c>
      <c r="S268" s="6" t="s">
        <v>958</v>
      </c>
    </row>
    <row r="269" ht="45" customHeight="1" spans="1:19" x14ac:dyDescent="0.25">
      <c r="A269" s="20" t="s">
        <v>404</v>
      </c>
      <c r="B269" s="20" t="s">
        <v>404</v>
      </c>
      <c r="C269" s="6" t="s">
        <v>951</v>
      </c>
      <c r="D269" s="6" t="s">
        <v>688</v>
      </c>
      <c r="E269" s="20">
        <v>40</v>
      </c>
      <c r="F269" s="20"/>
      <c r="G269" s="20" t="s">
        <v>667</v>
      </c>
      <c r="H269" s="27">
        <v>200</v>
      </c>
      <c r="I269" s="20" t="s">
        <v>668</v>
      </c>
      <c r="J269" s="6"/>
      <c r="K269" s="6" t="s">
        <v>953</v>
      </c>
      <c r="L269" s="6" t="s">
        <v>407</v>
      </c>
      <c r="M269" s="6" t="s">
        <v>408</v>
      </c>
      <c r="N269" s="6" t="s">
        <v>406</v>
      </c>
      <c r="O269" s="20" t="s">
        <v>954</v>
      </c>
      <c r="P269" s="20" t="s">
        <v>236</v>
      </c>
      <c r="Q269" s="22" t="s">
        <v>409</v>
      </c>
      <c r="R269" s="6" t="s">
        <v>955</v>
      </c>
      <c r="S269" s="6" t="s">
        <v>956</v>
      </c>
    </row>
    <row r="270" ht="45" customHeight="1" spans="1:19" x14ac:dyDescent="0.25">
      <c r="A270" s="20" t="s">
        <v>404</v>
      </c>
      <c r="B270" s="20" t="s">
        <v>404</v>
      </c>
      <c r="C270" s="6" t="s">
        <v>951</v>
      </c>
      <c r="D270" s="6" t="s">
        <v>688</v>
      </c>
      <c r="E270" s="20">
        <v>40</v>
      </c>
      <c r="F270" s="20"/>
      <c r="G270" s="20" t="s">
        <v>674</v>
      </c>
      <c r="H270" s="27">
        <v>1000</v>
      </c>
      <c r="I270" s="20" t="s">
        <v>668</v>
      </c>
      <c r="J270" s="6"/>
      <c r="K270" s="6" t="s">
        <v>953</v>
      </c>
      <c r="L270" s="6" t="s">
        <v>407</v>
      </c>
      <c r="M270" s="6" t="s">
        <v>408</v>
      </c>
      <c r="N270" s="6" t="s">
        <v>406</v>
      </c>
      <c r="O270" s="20" t="s">
        <v>954</v>
      </c>
      <c r="P270" s="20" t="s">
        <v>236</v>
      </c>
      <c r="Q270" s="22" t="s">
        <v>409</v>
      </c>
      <c r="R270" s="6" t="s">
        <v>955</v>
      </c>
      <c r="S270" s="6" t="s">
        <v>956</v>
      </c>
    </row>
    <row r="271" ht="45" customHeight="1" spans="1:19" x14ac:dyDescent="0.25">
      <c r="A271" s="20" t="s">
        <v>404</v>
      </c>
      <c r="B271" s="20" t="s">
        <v>404</v>
      </c>
      <c r="C271" s="6" t="s">
        <v>957</v>
      </c>
      <c r="D271" s="6" t="s">
        <v>688</v>
      </c>
      <c r="E271" s="20">
        <v>40</v>
      </c>
      <c r="F271" s="20"/>
      <c r="G271" s="20" t="s">
        <v>667</v>
      </c>
      <c r="H271" s="27">
        <v>200</v>
      </c>
      <c r="I271" s="20" t="s">
        <v>668</v>
      </c>
      <c r="J271" s="6"/>
      <c r="K271" s="6" t="s">
        <v>953</v>
      </c>
      <c r="L271" s="6" t="s">
        <v>407</v>
      </c>
      <c r="M271" s="6" t="s">
        <v>408</v>
      </c>
      <c r="N271" s="6" t="s">
        <v>406</v>
      </c>
      <c r="O271" s="20" t="s">
        <v>954</v>
      </c>
      <c r="P271" s="20" t="s">
        <v>236</v>
      </c>
      <c r="Q271" s="22" t="s">
        <v>409</v>
      </c>
      <c r="R271" s="6" t="s">
        <v>955</v>
      </c>
      <c r="S271" s="6" t="s">
        <v>958</v>
      </c>
    </row>
    <row r="272" ht="45" customHeight="1" spans="1:19" x14ac:dyDescent="0.25">
      <c r="A272" s="20" t="s">
        <v>404</v>
      </c>
      <c r="B272" s="20" t="s">
        <v>404</v>
      </c>
      <c r="C272" s="6" t="s">
        <v>957</v>
      </c>
      <c r="D272" s="6" t="s">
        <v>688</v>
      </c>
      <c r="E272" s="20">
        <v>40</v>
      </c>
      <c r="F272" s="20"/>
      <c r="G272" s="20" t="s">
        <v>674</v>
      </c>
      <c r="H272" s="27">
        <v>800</v>
      </c>
      <c r="I272" s="20" t="s">
        <v>668</v>
      </c>
      <c r="J272" s="6"/>
      <c r="K272" s="6" t="s">
        <v>953</v>
      </c>
      <c r="L272" s="6" t="s">
        <v>407</v>
      </c>
      <c r="M272" s="6" t="s">
        <v>408</v>
      </c>
      <c r="N272" s="6" t="s">
        <v>406</v>
      </c>
      <c r="O272" s="20" t="s">
        <v>954</v>
      </c>
      <c r="P272" s="20" t="s">
        <v>236</v>
      </c>
      <c r="Q272" s="22" t="s">
        <v>409</v>
      </c>
      <c r="R272" s="6" t="s">
        <v>955</v>
      </c>
      <c r="S272" s="6" t="s">
        <v>958</v>
      </c>
    </row>
    <row r="273" ht="45" customHeight="1" spans="1:19" x14ac:dyDescent="0.25">
      <c r="A273" s="20" t="s">
        <v>404</v>
      </c>
      <c r="B273" s="20" t="s">
        <v>404</v>
      </c>
      <c r="C273" s="6" t="s">
        <v>961</v>
      </c>
      <c r="D273" s="6" t="s">
        <v>952</v>
      </c>
      <c r="E273" s="20">
        <v>3.5</v>
      </c>
      <c r="F273" s="20">
        <v>7.5</v>
      </c>
      <c r="G273" s="20" t="s">
        <v>667</v>
      </c>
      <c r="H273" s="27">
        <v>50</v>
      </c>
      <c r="I273" s="20" t="s">
        <v>668</v>
      </c>
      <c r="J273" s="6"/>
      <c r="K273" s="6" t="s">
        <v>953</v>
      </c>
      <c r="L273" s="6" t="s">
        <v>407</v>
      </c>
      <c r="M273" s="6" t="s">
        <v>408</v>
      </c>
      <c r="N273" s="6" t="s">
        <v>406</v>
      </c>
      <c r="O273" s="20" t="s">
        <v>954</v>
      </c>
      <c r="P273" s="20" t="s">
        <v>236</v>
      </c>
      <c r="Q273" s="22" t="s">
        <v>409</v>
      </c>
      <c r="R273" s="6" t="s">
        <v>962</v>
      </c>
      <c r="S273" s="6" t="s">
        <v>963</v>
      </c>
    </row>
    <row r="274" ht="45" customHeight="1" spans="1:19" x14ac:dyDescent="0.25">
      <c r="A274" s="20" t="s">
        <v>404</v>
      </c>
      <c r="B274" s="20" t="s">
        <v>404</v>
      </c>
      <c r="C274" s="6" t="s">
        <v>961</v>
      </c>
      <c r="D274" s="6" t="s">
        <v>952</v>
      </c>
      <c r="E274" s="20">
        <v>3.5</v>
      </c>
      <c r="F274" s="20">
        <v>7.5</v>
      </c>
      <c r="G274" s="20" t="s">
        <v>674</v>
      </c>
      <c r="H274" s="27">
        <v>200</v>
      </c>
      <c r="I274" s="20" t="s">
        <v>668</v>
      </c>
      <c r="J274" s="6"/>
      <c r="K274" s="6" t="s">
        <v>953</v>
      </c>
      <c r="L274" s="6" t="s">
        <v>407</v>
      </c>
      <c r="M274" s="6" t="s">
        <v>408</v>
      </c>
      <c r="N274" s="6" t="s">
        <v>406</v>
      </c>
      <c r="O274" s="20" t="s">
        <v>954</v>
      </c>
      <c r="P274" s="20" t="s">
        <v>236</v>
      </c>
      <c r="Q274" s="22" t="s">
        <v>409</v>
      </c>
      <c r="R274" s="6" t="s">
        <v>962</v>
      </c>
      <c r="S274" s="6" t="s">
        <v>963</v>
      </c>
    </row>
    <row r="275" ht="45" customHeight="1" spans="1:19" x14ac:dyDescent="0.25">
      <c r="A275" s="20" t="s">
        <v>404</v>
      </c>
      <c r="B275" s="20" t="s">
        <v>404</v>
      </c>
      <c r="C275" s="6" t="s">
        <v>961</v>
      </c>
      <c r="D275" s="6" t="s">
        <v>688</v>
      </c>
      <c r="E275" s="20">
        <v>40</v>
      </c>
      <c r="F275" s="20"/>
      <c r="G275" s="20" t="s">
        <v>667</v>
      </c>
      <c r="H275" s="27">
        <v>50</v>
      </c>
      <c r="I275" s="20" t="s">
        <v>668</v>
      </c>
      <c r="J275" s="6"/>
      <c r="K275" s="6" t="s">
        <v>953</v>
      </c>
      <c r="L275" s="6" t="s">
        <v>407</v>
      </c>
      <c r="M275" s="6" t="s">
        <v>408</v>
      </c>
      <c r="N275" s="6" t="s">
        <v>406</v>
      </c>
      <c r="O275" s="20" t="s">
        <v>954</v>
      </c>
      <c r="P275" s="20" t="s">
        <v>236</v>
      </c>
      <c r="Q275" s="22" t="s">
        <v>409</v>
      </c>
      <c r="R275" s="6" t="s">
        <v>962</v>
      </c>
      <c r="S275" s="6" t="s">
        <v>963</v>
      </c>
    </row>
    <row r="276" ht="45" customHeight="1" spans="1:19" x14ac:dyDescent="0.25">
      <c r="A276" s="20" t="s">
        <v>404</v>
      </c>
      <c r="B276" s="20" t="s">
        <v>404</v>
      </c>
      <c r="C276" s="6" t="s">
        <v>961</v>
      </c>
      <c r="D276" s="6" t="s">
        <v>688</v>
      </c>
      <c r="E276" s="20">
        <v>40</v>
      </c>
      <c r="F276" s="20"/>
      <c r="G276" s="20" t="s">
        <v>674</v>
      </c>
      <c r="H276" s="27">
        <v>400</v>
      </c>
      <c r="I276" s="20" t="s">
        <v>668</v>
      </c>
      <c r="J276" s="6"/>
      <c r="K276" s="6" t="s">
        <v>953</v>
      </c>
      <c r="L276" s="6" t="s">
        <v>407</v>
      </c>
      <c r="M276" s="6" t="s">
        <v>408</v>
      </c>
      <c r="N276" s="6" t="s">
        <v>406</v>
      </c>
      <c r="O276" s="20" t="s">
        <v>954</v>
      </c>
      <c r="P276" s="20" t="s">
        <v>236</v>
      </c>
      <c r="Q276" s="22" t="s">
        <v>409</v>
      </c>
      <c r="R276" s="6" t="s">
        <v>962</v>
      </c>
      <c r="S276" s="6" t="s">
        <v>963</v>
      </c>
    </row>
    <row r="277" ht="45" customHeight="1" spans="1:19" x14ac:dyDescent="0.25">
      <c r="A277" s="20" t="s">
        <v>410</v>
      </c>
      <c r="B277" s="20" t="s">
        <v>411</v>
      </c>
      <c r="C277" s="6" t="s">
        <v>412</v>
      </c>
      <c r="D277" s="6"/>
      <c r="E277" s="20"/>
      <c r="F277" s="20"/>
      <c r="G277" s="20" t="s">
        <v>463</v>
      </c>
      <c r="H277" s="27"/>
      <c r="I277" s="20"/>
      <c r="J277" s="6"/>
      <c r="K277" s="6"/>
      <c r="L277" s="6" t="s">
        <v>413</v>
      </c>
      <c r="M277" s="6" t="s">
        <v>414</v>
      </c>
      <c r="N277" s="6" t="s">
        <v>412</v>
      </c>
      <c r="O277" s="20" t="s">
        <v>791</v>
      </c>
      <c r="P277" s="20" t="s">
        <v>297</v>
      </c>
      <c r="Q277" s="22" t="s">
        <v>416</v>
      </c>
      <c r="R277" s="6" t="s">
        <v>964</v>
      </c>
      <c r="S277" s="6"/>
    </row>
    <row r="278" ht="45" customHeight="1" spans="1:19" x14ac:dyDescent="0.25">
      <c r="A278" s="20" t="s">
        <v>417</v>
      </c>
      <c r="B278" s="20" t="s">
        <v>417</v>
      </c>
      <c r="C278" s="6" t="s">
        <v>412</v>
      </c>
      <c r="D278" s="6"/>
      <c r="E278" s="20"/>
      <c r="F278" s="20"/>
      <c r="G278" s="20" t="s">
        <v>463</v>
      </c>
      <c r="H278" s="27"/>
      <c r="I278" s="20"/>
      <c r="J278" s="6"/>
      <c r="K278" s="6"/>
      <c r="L278" s="6"/>
      <c r="M278" s="6" t="s">
        <v>419</v>
      </c>
      <c r="N278" s="6" t="s">
        <v>418</v>
      </c>
      <c r="O278" s="20" t="s">
        <v>791</v>
      </c>
      <c r="P278" s="20" t="s">
        <v>297</v>
      </c>
      <c r="Q278" s="22" t="s">
        <v>421</v>
      </c>
      <c r="R278" s="6" t="s">
        <v>965</v>
      </c>
      <c r="S278" s="6"/>
    </row>
    <row r="279" ht="45" customHeight="1" spans="1:19" x14ac:dyDescent="0.25">
      <c r="A279" s="20" t="s">
        <v>422</v>
      </c>
      <c r="B279" s="20" t="s">
        <v>423</v>
      </c>
      <c r="C279" s="6" t="s">
        <v>966</v>
      </c>
      <c r="D279" s="6" t="s">
        <v>967</v>
      </c>
      <c r="E279" s="20"/>
      <c r="F279" s="20"/>
      <c r="G279" s="20" t="s">
        <v>667</v>
      </c>
      <c r="H279" s="27">
        <v>50</v>
      </c>
      <c r="I279" s="20" t="s">
        <v>668</v>
      </c>
      <c r="J279" s="6"/>
      <c r="K279" s="6" t="s">
        <v>968</v>
      </c>
      <c r="L279" s="6" t="s">
        <v>426</v>
      </c>
      <c r="M279" s="6" t="s">
        <v>427</v>
      </c>
      <c r="N279" s="6" t="s">
        <v>425</v>
      </c>
      <c r="O279" s="20" t="s">
        <v>969</v>
      </c>
      <c r="P279" s="20" t="s">
        <v>236</v>
      </c>
      <c r="Q279" s="22" t="s">
        <v>428</v>
      </c>
      <c r="R279" s="6" t="s">
        <v>970</v>
      </c>
      <c r="S279" s="6" t="s">
        <v>971</v>
      </c>
    </row>
    <row r="280" ht="45" customHeight="1" spans="1:19" x14ac:dyDescent="0.25">
      <c r="A280" s="20" t="s">
        <v>422</v>
      </c>
      <c r="B280" s="20" t="s">
        <v>423</v>
      </c>
      <c r="C280" s="6" t="s">
        <v>966</v>
      </c>
      <c r="D280" s="6" t="s">
        <v>967</v>
      </c>
      <c r="E280" s="20"/>
      <c r="F280" s="20"/>
      <c r="G280" s="20" t="s">
        <v>674</v>
      </c>
      <c r="H280" s="27">
        <v>400</v>
      </c>
      <c r="I280" s="20" t="s">
        <v>668</v>
      </c>
      <c r="J280" s="6"/>
      <c r="K280" s="6" t="s">
        <v>972</v>
      </c>
      <c r="L280" s="6" t="s">
        <v>426</v>
      </c>
      <c r="M280" s="6" t="s">
        <v>427</v>
      </c>
      <c r="N280" s="6" t="s">
        <v>425</v>
      </c>
      <c r="O280" s="20" t="s">
        <v>969</v>
      </c>
      <c r="P280" s="20" t="s">
        <v>236</v>
      </c>
      <c r="Q280" s="22" t="s">
        <v>428</v>
      </c>
      <c r="R280" s="6" t="s">
        <v>970</v>
      </c>
      <c r="S280" s="6" t="s">
        <v>971</v>
      </c>
    </row>
    <row r="281" ht="45" customHeight="1" spans="1:19" x14ac:dyDescent="0.25">
      <c r="A281" s="20" t="s">
        <v>422</v>
      </c>
      <c r="B281" s="20" t="s">
        <v>423</v>
      </c>
      <c r="C281" s="6" t="s">
        <v>966</v>
      </c>
      <c r="D281" s="6" t="s">
        <v>967</v>
      </c>
      <c r="E281" s="20"/>
      <c r="F281" s="20"/>
      <c r="G281" s="20" t="s">
        <v>735</v>
      </c>
      <c r="H281" s="27">
        <v>2000</v>
      </c>
      <c r="I281" s="20" t="s">
        <v>668</v>
      </c>
      <c r="J281" s="6"/>
      <c r="K281" s="6" t="s">
        <v>972</v>
      </c>
      <c r="L281" s="6" t="s">
        <v>426</v>
      </c>
      <c r="M281" s="6" t="s">
        <v>427</v>
      </c>
      <c r="N281" s="6" t="s">
        <v>425</v>
      </c>
      <c r="O281" s="20" t="s">
        <v>969</v>
      </c>
      <c r="P281" s="20" t="s">
        <v>236</v>
      </c>
      <c r="Q281" s="22" t="s">
        <v>428</v>
      </c>
      <c r="R281" s="6" t="s">
        <v>970</v>
      </c>
      <c r="S281" s="6" t="s">
        <v>971</v>
      </c>
    </row>
    <row r="282" ht="45" customHeight="1" spans="1:19" x14ac:dyDescent="0.25">
      <c r="A282" s="20" t="s">
        <v>429</v>
      </c>
      <c r="B282" s="20" t="s">
        <v>430</v>
      </c>
      <c r="C282" s="6" t="s">
        <v>973</v>
      </c>
      <c r="D282" s="6" t="s">
        <v>974</v>
      </c>
      <c r="E282" s="20">
        <v>2.5</v>
      </c>
      <c r="F282" s="20">
        <v>3.5</v>
      </c>
      <c r="G282" s="20" t="s">
        <v>735</v>
      </c>
      <c r="H282" s="27">
        <v>150</v>
      </c>
      <c r="I282" s="20" t="s">
        <v>668</v>
      </c>
      <c r="J282" s="6" t="s">
        <v>975</v>
      </c>
      <c r="K282" s="6" t="s">
        <v>976</v>
      </c>
      <c r="L282" s="6" t="s">
        <v>433</v>
      </c>
      <c r="M282" s="6" t="s">
        <v>434</v>
      </c>
      <c r="N282" s="6" t="s">
        <v>432</v>
      </c>
      <c r="O282" s="20" t="s">
        <v>977</v>
      </c>
      <c r="P282" s="20" t="s">
        <v>269</v>
      </c>
      <c r="Q282" s="22" t="s">
        <v>435</v>
      </c>
      <c r="R282" s="6" t="s">
        <v>978</v>
      </c>
      <c r="S282" s="6" t="s">
        <v>979</v>
      </c>
    </row>
    <row r="283" ht="45" customHeight="1" spans="1:19" x14ac:dyDescent="0.25">
      <c r="A283" s="20" t="s">
        <v>429</v>
      </c>
      <c r="B283" s="20" t="s">
        <v>430</v>
      </c>
      <c r="C283" s="6" t="s">
        <v>973</v>
      </c>
      <c r="D283" s="6" t="s">
        <v>974</v>
      </c>
      <c r="E283" s="20">
        <v>2.5</v>
      </c>
      <c r="F283" s="20">
        <v>3.5</v>
      </c>
      <c r="G283" s="20" t="s">
        <v>674</v>
      </c>
      <c r="H283" s="27">
        <v>50</v>
      </c>
      <c r="I283" s="20" t="s">
        <v>668</v>
      </c>
      <c r="J283" s="6" t="s">
        <v>975</v>
      </c>
      <c r="K283" s="6" t="s">
        <v>976</v>
      </c>
      <c r="L283" s="6" t="s">
        <v>433</v>
      </c>
      <c r="M283" s="6" t="s">
        <v>434</v>
      </c>
      <c r="N283" s="6" t="s">
        <v>432</v>
      </c>
      <c r="O283" s="20" t="s">
        <v>977</v>
      </c>
      <c r="P283" s="20" t="s">
        <v>269</v>
      </c>
      <c r="Q283" s="22" t="s">
        <v>435</v>
      </c>
      <c r="R283" s="6" t="s">
        <v>978</v>
      </c>
      <c r="S283" s="6" t="s">
        <v>979</v>
      </c>
    </row>
    <row r="284" ht="45" customHeight="1" spans="1:19" x14ac:dyDescent="0.25">
      <c r="A284" s="20" t="s">
        <v>429</v>
      </c>
      <c r="B284" s="20" t="s">
        <v>430</v>
      </c>
      <c r="C284" s="6" t="s">
        <v>973</v>
      </c>
      <c r="D284" s="6" t="s">
        <v>980</v>
      </c>
      <c r="E284" s="20">
        <v>3.5</v>
      </c>
      <c r="F284" s="20">
        <v>12</v>
      </c>
      <c r="G284" s="20" t="s">
        <v>735</v>
      </c>
      <c r="H284" s="27">
        <v>400</v>
      </c>
      <c r="I284" s="20" t="s">
        <v>668</v>
      </c>
      <c r="J284" s="6" t="s">
        <v>975</v>
      </c>
      <c r="K284" s="6" t="s">
        <v>976</v>
      </c>
      <c r="L284" s="6" t="s">
        <v>433</v>
      </c>
      <c r="M284" s="6" t="s">
        <v>434</v>
      </c>
      <c r="N284" s="6" t="s">
        <v>432</v>
      </c>
      <c r="O284" s="20" t="s">
        <v>977</v>
      </c>
      <c r="P284" s="20" t="s">
        <v>269</v>
      </c>
      <c r="Q284" s="22" t="s">
        <v>435</v>
      </c>
      <c r="R284" s="6" t="s">
        <v>978</v>
      </c>
      <c r="S284" s="6" t="s">
        <v>979</v>
      </c>
    </row>
    <row r="285" ht="45" customHeight="1" spans="1:19" x14ac:dyDescent="0.25">
      <c r="A285" s="20" t="s">
        <v>429</v>
      </c>
      <c r="B285" s="20" t="s">
        <v>430</v>
      </c>
      <c r="C285" s="6" t="s">
        <v>973</v>
      </c>
      <c r="D285" s="6" t="s">
        <v>980</v>
      </c>
      <c r="E285" s="20">
        <v>3.5</v>
      </c>
      <c r="F285" s="20">
        <v>12</v>
      </c>
      <c r="G285" s="20" t="s">
        <v>674</v>
      </c>
      <c r="H285" s="27">
        <v>100</v>
      </c>
      <c r="I285" s="20" t="s">
        <v>668</v>
      </c>
      <c r="J285" s="6" t="s">
        <v>975</v>
      </c>
      <c r="K285" s="6" t="s">
        <v>976</v>
      </c>
      <c r="L285" s="6" t="s">
        <v>433</v>
      </c>
      <c r="M285" s="6" t="s">
        <v>434</v>
      </c>
      <c r="N285" s="6" t="s">
        <v>432</v>
      </c>
      <c r="O285" s="20" t="s">
        <v>977</v>
      </c>
      <c r="P285" s="20" t="s">
        <v>269</v>
      </c>
      <c r="Q285" s="22" t="s">
        <v>435</v>
      </c>
      <c r="R285" s="6" t="s">
        <v>978</v>
      </c>
      <c r="S285" s="6" t="s">
        <v>979</v>
      </c>
    </row>
    <row r="286" ht="45" customHeight="1" spans="1:19" x14ac:dyDescent="0.25">
      <c r="A286" s="20" t="s">
        <v>429</v>
      </c>
      <c r="B286" s="20" t="s">
        <v>430</v>
      </c>
      <c r="C286" s="6" t="s">
        <v>973</v>
      </c>
      <c r="D286" s="6" t="s">
        <v>981</v>
      </c>
      <c r="E286" s="20">
        <v>12</v>
      </c>
      <c r="F286" s="20"/>
      <c r="G286" s="20" t="s">
        <v>735</v>
      </c>
      <c r="H286" s="27">
        <v>1000</v>
      </c>
      <c r="I286" s="20" t="s">
        <v>668</v>
      </c>
      <c r="J286" s="6" t="s">
        <v>975</v>
      </c>
      <c r="K286" s="6" t="s">
        <v>976</v>
      </c>
      <c r="L286" s="6" t="s">
        <v>433</v>
      </c>
      <c r="M286" s="6" t="s">
        <v>434</v>
      </c>
      <c r="N286" s="6" t="s">
        <v>432</v>
      </c>
      <c r="O286" s="20" t="s">
        <v>977</v>
      </c>
      <c r="P286" s="20" t="s">
        <v>269</v>
      </c>
      <c r="Q286" s="22" t="s">
        <v>435</v>
      </c>
      <c r="R286" s="6" t="s">
        <v>978</v>
      </c>
      <c r="S286" s="6" t="s">
        <v>979</v>
      </c>
    </row>
    <row r="287" ht="45" customHeight="1" spans="1:19" x14ac:dyDescent="0.25">
      <c r="A287" s="20" t="s">
        <v>429</v>
      </c>
      <c r="B287" s="20" t="s">
        <v>430</v>
      </c>
      <c r="C287" s="6" t="s">
        <v>973</v>
      </c>
      <c r="D287" s="6" t="s">
        <v>981</v>
      </c>
      <c r="E287" s="20">
        <v>12</v>
      </c>
      <c r="F287" s="20"/>
      <c r="G287" s="20" t="s">
        <v>674</v>
      </c>
      <c r="H287" s="27">
        <v>300</v>
      </c>
      <c r="I287" s="20" t="s">
        <v>668</v>
      </c>
      <c r="J287" s="6" t="s">
        <v>975</v>
      </c>
      <c r="K287" s="6" t="s">
        <v>976</v>
      </c>
      <c r="L287" s="6" t="s">
        <v>433</v>
      </c>
      <c r="M287" s="6" t="s">
        <v>434</v>
      </c>
      <c r="N287" s="6" t="s">
        <v>432</v>
      </c>
      <c r="O287" s="20" t="s">
        <v>977</v>
      </c>
      <c r="P287" s="20" t="s">
        <v>269</v>
      </c>
      <c r="Q287" s="22" t="s">
        <v>435</v>
      </c>
      <c r="R287" s="6" t="s">
        <v>978</v>
      </c>
      <c r="S287" s="6" t="s">
        <v>979</v>
      </c>
    </row>
    <row r="288" ht="45" customHeight="1" spans="1:19" x14ac:dyDescent="0.25">
      <c r="A288" s="20" t="s">
        <v>429</v>
      </c>
      <c r="B288" s="20" t="s">
        <v>430</v>
      </c>
      <c r="C288" s="6" t="s">
        <v>973</v>
      </c>
      <c r="D288" s="6" t="s">
        <v>982</v>
      </c>
      <c r="E288" s="20">
        <v>2.5</v>
      </c>
      <c r="F288" s="20">
        <v>3.5</v>
      </c>
      <c r="G288" s="20" t="s">
        <v>735</v>
      </c>
      <c r="H288" s="27">
        <v>300</v>
      </c>
      <c r="I288" s="20" t="s">
        <v>668</v>
      </c>
      <c r="J288" s="6" t="s">
        <v>975</v>
      </c>
      <c r="K288" s="6" t="s">
        <v>976</v>
      </c>
      <c r="L288" s="6" t="s">
        <v>433</v>
      </c>
      <c r="M288" s="6" t="s">
        <v>434</v>
      </c>
      <c r="N288" s="6" t="s">
        <v>432</v>
      </c>
      <c r="O288" s="20" t="s">
        <v>977</v>
      </c>
      <c r="P288" s="20" t="s">
        <v>269</v>
      </c>
      <c r="Q288" s="22" t="s">
        <v>435</v>
      </c>
      <c r="R288" s="6" t="s">
        <v>983</v>
      </c>
      <c r="S288" s="6" t="s">
        <v>979</v>
      </c>
    </row>
    <row r="289" ht="45" customHeight="1" spans="1:19" x14ac:dyDescent="0.25">
      <c r="A289" s="20" t="s">
        <v>429</v>
      </c>
      <c r="B289" s="20" t="s">
        <v>430</v>
      </c>
      <c r="C289" s="6" t="s">
        <v>973</v>
      </c>
      <c r="D289" s="6" t="s">
        <v>982</v>
      </c>
      <c r="E289" s="20">
        <v>2.5</v>
      </c>
      <c r="F289" s="20">
        <v>3.5</v>
      </c>
      <c r="G289" s="20" t="s">
        <v>674</v>
      </c>
      <c r="H289" s="27">
        <v>95</v>
      </c>
      <c r="I289" s="20" t="s">
        <v>668</v>
      </c>
      <c r="J289" s="6" t="s">
        <v>975</v>
      </c>
      <c r="K289" s="6" t="s">
        <v>976</v>
      </c>
      <c r="L289" s="6" t="s">
        <v>433</v>
      </c>
      <c r="M289" s="6" t="s">
        <v>434</v>
      </c>
      <c r="N289" s="6" t="s">
        <v>432</v>
      </c>
      <c r="O289" s="20" t="s">
        <v>977</v>
      </c>
      <c r="P289" s="20" t="s">
        <v>269</v>
      </c>
      <c r="Q289" s="22" t="s">
        <v>435</v>
      </c>
      <c r="R289" s="6" t="s">
        <v>978</v>
      </c>
      <c r="S289" s="6" t="s">
        <v>979</v>
      </c>
    </row>
    <row r="290" ht="45" customHeight="1" spans="1:19" x14ac:dyDescent="0.25">
      <c r="A290" s="20" t="s">
        <v>429</v>
      </c>
      <c r="B290" s="20" t="s">
        <v>430</v>
      </c>
      <c r="C290" s="6" t="s">
        <v>973</v>
      </c>
      <c r="D290" s="6" t="s">
        <v>984</v>
      </c>
      <c r="E290" s="20">
        <v>3.5</v>
      </c>
      <c r="F290" s="20">
        <v>12</v>
      </c>
      <c r="G290" s="20" t="s">
        <v>735</v>
      </c>
      <c r="H290" s="27">
        <v>750</v>
      </c>
      <c r="I290" s="20" t="s">
        <v>668</v>
      </c>
      <c r="J290" s="6" t="s">
        <v>975</v>
      </c>
      <c r="K290" s="6" t="s">
        <v>976</v>
      </c>
      <c r="L290" s="6" t="s">
        <v>433</v>
      </c>
      <c r="M290" s="6" t="s">
        <v>434</v>
      </c>
      <c r="N290" s="6" t="s">
        <v>432</v>
      </c>
      <c r="O290" s="20" t="s">
        <v>977</v>
      </c>
      <c r="P290" s="20" t="s">
        <v>269</v>
      </c>
      <c r="Q290" s="22" t="s">
        <v>435</v>
      </c>
      <c r="R290" s="6" t="s">
        <v>978</v>
      </c>
      <c r="S290" s="6" t="s">
        <v>979</v>
      </c>
    </row>
    <row r="291" ht="45" customHeight="1" spans="1:19" x14ac:dyDescent="0.25">
      <c r="A291" s="20" t="s">
        <v>429</v>
      </c>
      <c r="B291" s="20" t="s">
        <v>430</v>
      </c>
      <c r="C291" s="6" t="s">
        <v>973</v>
      </c>
      <c r="D291" s="6" t="s">
        <v>984</v>
      </c>
      <c r="E291" s="20">
        <v>3.5</v>
      </c>
      <c r="F291" s="20">
        <v>12</v>
      </c>
      <c r="G291" s="20" t="s">
        <v>674</v>
      </c>
      <c r="H291" s="27">
        <v>250</v>
      </c>
      <c r="I291" s="20" t="s">
        <v>668</v>
      </c>
      <c r="J291" s="6" t="s">
        <v>975</v>
      </c>
      <c r="K291" s="6" t="s">
        <v>976</v>
      </c>
      <c r="L291" s="6" t="s">
        <v>433</v>
      </c>
      <c r="M291" s="6" t="s">
        <v>434</v>
      </c>
      <c r="N291" s="6" t="s">
        <v>432</v>
      </c>
      <c r="O291" s="20" t="s">
        <v>977</v>
      </c>
      <c r="P291" s="20" t="s">
        <v>269</v>
      </c>
      <c r="Q291" s="22" t="s">
        <v>435</v>
      </c>
      <c r="R291" s="6" t="s">
        <v>978</v>
      </c>
      <c r="S291" s="6" t="s">
        <v>979</v>
      </c>
    </row>
    <row r="292" ht="45" customHeight="1" spans="1:19" x14ac:dyDescent="0.25">
      <c r="A292" s="20" t="s">
        <v>429</v>
      </c>
      <c r="B292" s="20" t="s">
        <v>430</v>
      </c>
      <c r="C292" s="6" t="s">
        <v>973</v>
      </c>
      <c r="D292" s="6" t="s">
        <v>985</v>
      </c>
      <c r="E292" s="20">
        <v>12</v>
      </c>
      <c r="F292" s="20"/>
      <c r="G292" s="20" t="s">
        <v>735</v>
      </c>
      <c r="H292" s="27">
        <v>1875</v>
      </c>
      <c r="I292" s="20" t="s">
        <v>668</v>
      </c>
      <c r="J292" s="6" t="s">
        <v>975</v>
      </c>
      <c r="K292" s="6" t="s">
        <v>976</v>
      </c>
      <c r="L292" s="6" t="s">
        <v>433</v>
      </c>
      <c r="M292" s="6" t="s">
        <v>434</v>
      </c>
      <c r="N292" s="6" t="s">
        <v>432</v>
      </c>
      <c r="O292" s="20" t="s">
        <v>977</v>
      </c>
      <c r="P292" s="20" t="s">
        <v>269</v>
      </c>
      <c r="Q292" s="22" t="s">
        <v>435</v>
      </c>
      <c r="R292" s="6" t="s">
        <v>978</v>
      </c>
      <c r="S292" s="6" t="s">
        <v>979</v>
      </c>
    </row>
    <row r="293" ht="45" customHeight="1" spans="1:19" x14ac:dyDescent="0.25">
      <c r="A293" s="20" t="s">
        <v>429</v>
      </c>
      <c r="B293" s="20" t="s">
        <v>430</v>
      </c>
      <c r="C293" s="6" t="s">
        <v>973</v>
      </c>
      <c r="D293" s="6" t="s">
        <v>985</v>
      </c>
      <c r="E293" s="20">
        <v>12</v>
      </c>
      <c r="F293" s="20"/>
      <c r="G293" s="20" t="s">
        <v>674</v>
      </c>
      <c r="H293" s="27">
        <v>750</v>
      </c>
      <c r="I293" s="20" t="s">
        <v>668</v>
      </c>
      <c r="J293" s="6" t="s">
        <v>975</v>
      </c>
      <c r="K293" s="6" t="s">
        <v>976</v>
      </c>
      <c r="L293" s="6" t="s">
        <v>433</v>
      </c>
      <c r="M293" s="6" t="s">
        <v>434</v>
      </c>
      <c r="N293" s="6" t="s">
        <v>432</v>
      </c>
      <c r="O293" s="20" t="s">
        <v>977</v>
      </c>
      <c r="P293" s="20" t="s">
        <v>269</v>
      </c>
      <c r="Q293" s="22" t="s">
        <v>435</v>
      </c>
      <c r="R293" s="6" t="s">
        <v>978</v>
      </c>
      <c r="S293" s="6" t="s">
        <v>979</v>
      </c>
    </row>
    <row r="294" ht="45" customHeight="1" spans="1:19" x14ac:dyDescent="0.25">
      <c r="A294" s="20" t="s">
        <v>429</v>
      </c>
      <c r="B294" s="20" t="s">
        <v>430</v>
      </c>
      <c r="C294" s="6" t="s">
        <v>973</v>
      </c>
      <c r="D294" s="6" t="s">
        <v>986</v>
      </c>
      <c r="E294" s="20">
        <v>2.5</v>
      </c>
      <c r="F294" s="20"/>
      <c r="G294" s="20" t="s">
        <v>667</v>
      </c>
      <c r="H294" s="27">
        <v>100</v>
      </c>
      <c r="I294" s="20" t="s">
        <v>668</v>
      </c>
      <c r="J294" s="6" t="s">
        <v>975</v>
      </c>
      <c r="K294" s="6" t="s">
        <v>976</v>
      </c>
      <c r="L294" s="6" t="s">
        <v>433</v>
      </c>
      <c r="M294" s="6" t="s">
        <v>434</v>
      </c>
      <c r="N294" s="6" t="s">
        <v>432</v>
      </c>
      <c r="O294" s="20" t="s">
        <v>977</v>
      </c>
      <c r="P294" s="20" t="s">
        <v>269</v>
      </c>
      <c r="Q294" s="22" t="s">
        <v>435</v>
      </c>
      <c r="R294" s="6" t="s">
        <v>987</v>
      </c>
      <c r="S294" s="6" t="s">
        <v>979</v>
      </c>
    </row>
    <row r="295" ht="45" customHeight="1" spans="1:19" x14ac:dyDescent="0.25">
      <c r="A295" s="20" t="s">
        <v>429</v>
      </c>
      <c r="B295" s="20" t="s">
        <v>430</v>
      </c>
      <c r="C295" s="6" t="s">
        <v>988</v>
      </c>
      <c r="D295" s="6" t="s">
        <v>989</v>
      </c>
      <c r="E295" s="20">
        <v>3.5</v>
      </c>
      <c r="F295" s="20"/>
      <c r="G295" s="20" t="s">
        <v>706</v>
      </c>
      <c r="H295" s="27"/>
      <c r="I295" s="20" t="s">
        <v>668</v>
      </c>
      <c r="J295" s="6"/>
      <c r="K295" s="6" t="s">
        <v>976</v>
      </c>
      <c r="L295" s="6" t="s">
        <v>433</v>
      </c>
      <c r="M295" s="6" t="s">
        <v>434</v>
      </c>
      <c r="N295" s="6" t="s">
        <v>432</v>
      </c>
      <c r="O295" s="20" t="s">
        <v>977</v>
      </c>
      <c r="P295" s="20" t="s">
        <v>269</v>
      </c>
      <c r="Q295" s="22" t="s">
        <v>435</v>
      </c>
      <c r="R295" s="6" t="s">
        <v>990</v>
      </c>
      <c r="S295" s="6" t="s">
        <v>991</v>
      </c>
    </row>
    <row r="296" ht="45" customHeight="1" spans="1:19" x14ac:dyDescent="0.25">
      <c r="A296" s="20" t="s">
        <v>436</v>
      </c>
      <c r="B296" s="20" t="s">
        <v>436</v>
      </c>
      <c r="C296" s="6" t="s">
        <v>992</v>
      </c>
      <c r="D296" s="6" t="s">
        <v>993</v>
      </c>
      <c r="E296" s="20">
        <v>3.5</v>
      </c>
      <c r="F296" s="20">
        <v>5.5</v>
      </c>
      <c r="G296" s="20" t="s">
        <v>667</v>
      </c>
      <c r="H296" s="27">
        <v>4.2</v>
      </c>
      <c r="I296" s="20" t="s">
        <v>668</v>
      </c>
      <c r="J296" s="6" t="s">
        <v>994</v>
      </c>
      <c r="K296" s="6" t="s">
        <v>995</v>
      </c>
      <c r="L296" s="6" t="s">
        <v>439</v>
      </c>
      <c r="M296" s="6" t="s">
        <v>440</v>
      </c>
      <c r="N296" s="6" t="s">
        <v>438</v>
      </c>
      <c r="O296" s="20" t="s">
        <v>996</v>
      </c>
      <c r="P296" s="20" t="s">
        <v>236</v>
      </c>
      <c r="Q296" s="22" t="s">
        <v>441</v>
      </c>
      <c r="R296" s="6" t="s">
        <v>997</v>
      </c>
      <c r="S296" s="6" t="s">
        <v>998</v>
      </c>
    </row>
    <row r="297" ht="45" customHeight="1" spans="1:19" x14ac:dyDescent="0.25">
      <c r="A297" s="20" t="s">
        <v>436</v>
      </c>
      <c r="B297" s="20" t="s">
        <v>436</v>
      </c>
      <c r="C297" s="6" t="s">
        <v>992</v>
      </c>
      <c r="D297" s="6" t="s">
        <v>999</v>
      </c>
      <c r="E297" s="20">
        <v>5.5</v>
      </c>
      <c r="F297" s="20">
        <v>10.5</v>
      </c>
      <c r="G297" s="20" t="s">
        <v>667</v>
      </c>
      <c r="H297" s="27">
        <v>7.4</v>
      </c>
      <c r="I297" s="20" t="s">
        <v>668</v>
      </c>
      <c r="J297" s="6" t="s">
        <v>994</v>
      </c>
      <c r="K297" s="6" t="s">
        <v>995</v>
      </c>
      <c r="L297" s="6" t="s">
        <v>439</v>
      </c>
      <c r="M297" s="6" t="s">
        <v>440</v>
      </c>
      <c r="N297" s="6" t="s">
        <v>438</v>
      </c>
      <c r="O297" s="20" t="s">
        <v>996</v>
      </c>
      <c r="P297" s="20" t="s">
        <v>236</v>
      </c>
      <c r="Q297" s="22" t="s">
        <v>441</v>
      </c>
      <c r="R297" s="6" t="s">
        <v>997</v>
      </c>
      <c r="S297" s="6" t="s">
        <v>998</v>
      </c>
    </row>
    <row r="298" ht="45" customHeight="1" spans="1:19" x14ac:dyDescent="0.25">
      <c r="A298" s="20" t="s">
        <v>436</v>
      </c>
      <c r="B298" s="20" t="s">
        <v>436</v>
      </c>
      <c r="C298" s="6" t="s">
        <v>992</v>
      </c>
      <c r="D298" s="6" t="s">
        <v>1000</v>
      </c>
      <c r="E298" s="20">
        <v>10.5</v>
      </c>
      <c r="F298" s="20">
        <v>20</v>
      </c>
      <c r="G298" s="20" t="s">
        <v>667</v>
      </c>
      <c r="H298" s="27">
        <v>10</v>
      </c>
      <c r="I298" s="20" t="s">
        <v>668</v>
      </c>
      <c r="J298" s="6" t="s">
        <v>994</v>
      </c>
      <c r="K298" s="6" t="s">
        <v>995</v>
      </c>
      <c r="L298" s="6" t="s">
        <v>439</v>
      </c>
      <c r="M298" s="6" t="s">
        <v>440</v>
      </c>
      <c r="N298" s="6" t="s">
        <v>438</v>
      </c>
      <c r="O298" s="20" t="s">
        <v>996</v>
      </c>
      <c r="P298" s="20" t="s">
        <v>236</v>
      </c>
      <c r="Q298" s="22" t="s">
        <v>441</v>
      </c>
      <c r="R298" s="6" t="s">
        <v>997</v>
      </c>
      <c r="S298" s="6" t="s">
        <v>998</v>
      </c>
    </row>
    <row r="299" ht="45" customHeight="1" spans="1:19" x14ac:dyDescent="0.25">
      <c r="A299" s="20" t="s">
        <v>436</v>
      </c>
      <c r="B299" s="20" t="s">
        <v>436</v>
      </c>
      <c r="C299" s="6" t="s">
        <v>992</v>
      </c>
      <c r="D299" s="6" t="s">
        <v>1001</v>
      </c>
      <c r="E299" s="20">
        <v>20</v>
      </c>
      <c r="F299" s="20"/>
      <c r="G299" s="20" t="s">
        <v>667</v>
      </c>
      <c r="H299" s="27">
        <v>15</v>
      </c>
      <c r="I299" s="20" t="s">
        <v>668</v>
      </c>
      <c r="J299" s="6" t="s">
        <v>994</v>
      </c>
      <c r="K299" s="6" t="s">
        <v>995</v>
      </c>
      <c r="L299" s="6" t="s">
        <v>439</v>
      </c>
      <c r="M299" s="6" t="s">
        <v>440</v>
      </c>
      <c r="N299" s="6" t="s">
        <v>438</v>
      </c>
      <c r="O299" s="20" t="s">
        <v>996</v>
      </c>
      <c r="P299" s="20" t="s">
        <v>236</v>
      </c>
      <c r="Q299" s="22" t="s">
        <v>441</v>
      </c>
      <c r="R299" s="6" t="s">
        <v>997</v>
      </c>
      <c r="S299" s="6" t="s">
        <v>998</v>
      </c>
    </row>
    <row r="300" ht="45" customHeight="1" spans="1:19" x14ac:dyDescent="0.25">
      <c r="A300" s="20" t="s">
        <v>436</v>
      </c>
      <c r="B300" s="20" t="s">
        <v>436</v>
      </c>
      <c r="C300" s="6" t="s">
        <v>992</v>
      </c>
      <c r="D300" s="6" t="s">
        <v>946</v>
      </c>
      <c r="E300" s="20"/>
      <c r="F300" s="20"/>
      <c r="G300" s="20" t="s">
        <v>842</v>
      </c>
      <c r="H300" s="27">
        <v>191</v>
      </c>
      <c r="I300" s="20" t="s">
        <v>668</v>
      </c>
      <c r="J300" s="6" t="s">
        <v>994</v>
      </c>
      <c r="K300" s="6" t="s">
        <v>1002</v>
      </c>
      <c r="L300" s="6" t="s">
        <v>439</v>
      </c>
      <c r="M300" s="6" t="s">
        <v>440</v>
      </c>
      <c r="N300" s="6" t="s">
        <v>438</v>
      </c>
      <c r="O300" s="20" t="s">
        <v>996</v>
      </c>
      <c r="P300" s="20" t="s">
        <v>236</v>
      </c>
      <c r="Q300" s="22" t="s">
        <v>441</v>
      </c>
      <c r="R300" s="6" t="s">
        <v>1003</v>
      </c>
      <c r="S300" s="6" t="s">
        <v>998</v>
      </c>
    </row>
    <row r="301" ht="45" customHeight="1" spans="1:19" x14ac:dyDescent="0.25">
      <c r="A301" s="20" t="s">
        <v>442</v>
      </c>
      <c r="B301" s="20" t="s">
        <v>442</v>
      </c>
      <c r="C301" s="6" t="s">
        <v>1004</v>
      </c>
      <c r="D301" s="6" t="s">
        <v>1005</v>
      </c>
      <c r="E301" s="20"/>
      <c r="F301" s="20">
        <v>3.5</v>
      </c>
      <c r="G301" s="20" t="s">
        <v>735</v>
      </c>
      <c r="H301" s="27">
        <v>2439</v>
      </c>
      <c r="I301" s="20" t="s">
        <v>668</v>
      </c>
      <c r="J301" s="6" t="s">
        <v>1006</v>
      </c>
      <c r="K301" s="6" t="s">
        <v>1007</v>
      </c>
      <c r="L301" s="6" t="s">
        <v>445</v>
      </c>
      <c r="M301" s="6" t="s">
        <v>446</v>
      </c>
      <c r="N301" s="6" t="s">
        <v>444</v>
      </c>
      <c r="O301" s="20" t="s">
        <v>1008</v>
      </c>
      <c r="P301" s="20" t="s">
        <v>236</v>
      </c>
      <c r="Q301" s="22" t="s">
        <v>448</v>
      </c>
      <c r="R301" s="6" t="s">
        <v>1009</v>
      </c>
      <c r="S301" s="6" t="s">
        <v>1010</v>
      </c>
    </row>
    <row r="302" ht="45" customHeight="1" spans="1:19" x14ac:dyDescent="0.25">
      <c r="A302" s="20" t="s">
        <v>442</v>
      </c>
      <c r="B302" s="20" t="s">
        <v>442</v>
      </c>
      <c r="C302" s="6" t="s">
        <v>1004</v>
      </c>
      <c r="D302" s="6" t="s">
        <v>989</v>
      </c>
      <c r="E302" s="20">
        <v>3.5</v>
      </c>
      <c r="F302" s="20"/>
      <c r="G302" s="20" t="s">
        <v>735</v>
      </c>
      <c r="H302" s="27">
        <v>4877</v>
      </c>
      <c r="I302" s="20" t="s">
        <v>668</v>
      </c>
      <c r="J302" s="6" t="s">
        <v>1006</v>
      </c>
      <c r="K302" s="6" t="s">
        <v>1007</v>
      </c>
      <c r="L302" s="6" t="s">
        <v>445</v>
      </c>
      <c r="M302" s="6" t="s">
        <v>446</v>
      </c>
      <c r="N302" s="6" t="s">
        <v>444</v>
      </c>
      <c r="O302" s="20" t="s">
        <v>1008</v>
      </c>
      <c r="P302" s="20" t="s">
        <v>236</v>
      </c>
      <c r="Q302" s="22" t="s">
        <v>448</v>
      </c>
      <c r="R302" s="6" t="s">
        <v>1009</v>
      </c>
      <c r="S302" s="6" t="s">
        <v>1010</v>
      </c>
    </row>
    <row r="303" ht="45" customHeight="1" spans="1:19" x14ac:dyDescent="0.25">
      <c r="A303" s="20" t="s">
        <v>442</v>
      </c>
      <c r="B303" s="20" t="s">
        <v>442</v>
      </c>
      <c r="C303" s="6" t="s">
        <v>1011</v>
      </c>
      <c r="D303" s="6" t="s">
        <v>1005</v>
      </c>
      <c r="E303" s="20"/>
      <c r="F303" s="20">
        <v>3.5</v>
      </c>
      <c r="G303" s="20" t="s">
        <v>735</v>
      </c>
      <c r="H303" s="27">
        <v>3658</v>
      </c>
      <c r="I303" s="20" t="s">
        <v>668</v>
      </c>
      <c r="J303" s="6" t="s">
        <v>1012</v>
      </c>
      <c r="K303" s="6" t="s">
        <v>1007</v>
      </c>
      <c r="L303" s="6" t="s">
        <v>445</v>
      </c>
      <c r="M303" s="6" t="s">
        <v>446</v>
      </c>
      <c r="N303" s="6" t="s">
        <v>444</v>
      </c>
      <c r="O303" s="20" t="s">
        <v>1008</v>
      </c>
      <c r="P303" s="20" t="s">
        <v>236</v>
      </c>
      <c r="Q303" s="22" t="s">
        <v>448</v>
      </c>
      <c r="R303" s="6" t="s">
        <v>1009</v>
      </c>
      <c r="S303" s="6" t="s">
        <v>1010</v>
      </c>
    </row>
    <row r="304" ht="45" customHeight="1" spans="1:19" x14ac:dyDescent="0.25">
      <c r="A304" s="20" t="s">
        <v>442</v>
      </c>
      <c r="B304" s="20" t="s">
        <v>442</v>
      </c>
      <c r="C304" s="6" t="s">
        <v>1011</v>
      </c>
      <c r="D304" s="6" t="s">
        <v>989</v>
      </c>
      <c r="E304" s="20">
        <v>3.5</v>
      </c>
      <c r="F304" s="20"/>
      <c r="G304" s="20" t="s">
        <v>735</v>
      </c>
      <c r="H304" s="27">
        <v>7316</v>
      </c>
      <c r="I304" s="20" t="s">
        <v>668</v>
      </c>
      <c r="J304" s="6" t="s">
        <v>1012</v>
      </c>
      <c r="K304" s="6" t="s">
        <v>1007</v>
      </c>
      <c r="L304" s="6" t="s">
        <v>445</v>
      </c>
      <c r="M304" s="6" t="s">
        <v>446</v>
      </c>
      <c r="N304" s="6" t="s">
        <v>444</v>
      </c>
      <c r="O304" s="20" t="s">
        <v>1008</v>
      </c>
      <c r="P304" s="20" t="s">
        <v>236</v>
      </c>
      <c r="Q304" s="22" t="s">
        <v>448</v>
      </c>
      <c r="R304" s="6" t="s">
        <v>1009</v>
      </c>
      <c r="S304" s="6" t="s">
        <v>1010</v>
      </c>
    </row>
    <row r="305" ht="45" customHeight="1" spans="1:19" x14ac:dyDescent="0.25">
      <c r="A305" s="20" t="s">
        <v>442</v>
      </c>
      <c r="B305" s="20" t="s">
        <v>442</v>
      </c>
      <c r="C305" s="6" t="s">
        <v>1004</v>
      </c>
      <c r="D305" s="6" t="s">
        <v>1005</v>
      </c>
      <c r="E305" s="20"/>
      <c r="F305" s="20">
        <v>3.5</v>
      </c>
      <c r="G305" s="20" t="s">
        <v>674</v>
      </c>
      <c r="H305" s="27">
        <v>326</v>
      </c>
      <c r="I305" s="20" t="s">
        <v>668</v>
      </c>
      <c r="J305" s="6" t="s">
        <v>1006</v>
      </c>
      <c r="K305" s="6" t="s">
        <v>1007</v>
      </c>
      <c r="L305" s="6" t="s">
        <v>445</v>
      </c>
      <c r="M305" s="6" t="s">
        <v>446</v>
      </c>
      <c r="N305" s="6" t="s">
        <v>444</v>
      </c>
      <c r="O305" s="20" t="s">
        <v>1008</v>
      </c>
      <c r="P305" s="20" t="s">
        <v>236</v>
      </c>
      <c r="Q305" s="22" t="s">
        <v>448</v>
      </c>
      <c r="R305" s="6" t="s">
        <v>1009</v>
      </c>
      <c r="S305" s="6" t="s">
        <v>1010</v>
      </c>
    </row>
    <row r="306" ht="45" customHeight="1" spans="1:19" x14ac:dyDescent="0.25">
      <c r="A306" s="20" t="s">
        <v>442</v>
      </c>
      <c r="B306" s="20" t="s">
        <v>442</v>
      </c>
      <c r="C306" s="6" t="s">
        <v>1004</v>
      </c>
      <c r="D306" s="6" t="s">
        <v>989</v>
      </c>
      <c r="E306" s="20">
        <v>3.5</v>
      </c>
      <c r="F306" s="20"/>
      <c r="G306" s="20" t="s">
        <v>674</v>
      </c>
      <c r="H306" s="27">
        <v>611</v>
      </c>
      <c r="I306" s="20" t="s">
        <v>668</v>
      </c>
      <c r="J306" s="6" t="s">
        <v>1006</v>
      </c>
      <c r="K306" s="6" t="s">
        <v>1007</v>
      </c>
      <c r="L306" s="6" t="s">
        <v>445</v>
      </c>
      <c r="M306" s="6" t="s">
        <v>446</v>
      </c>
      <c r="N306" s="6" t="s">
        <v>444</v>
      </c>
      <c r="O306" s="20" t="s">
        <v>1008</v>
      </c>
      <c r="P306" s="20" t="s">
        <v>236</v>
      </c>
      <c r="Q306" s="22" t="s">
        <v>448</v>
      </c>
      <c r="R306" s="6" t="s">
        <v>1009</v>
      </c>
      <c r="S306" s="6" t="s">
        <v>1010</v>
      </c>
    </row>
    <row r="307" ht="45" customHeight="1" spans="1:19" x14ac:dyDescent="0.25">
      <c r="A307" s="20" t="s">
        <v>442</v>
      </c>
      <c r="B307" s="20" t="s">
        <v>442</v>
      </c>
      <c r="C307" s="6" t="s">
        <v>1011</v>
      </c>
      <c r="D307" s="6" t="s">
        <v>1005</v>
      </c>
      <c r="E307" s="20"/>
      <c r="F307" s="20">
        <v>3.5</v>
      </c>
      <c r="G307" s="20" t="s">
        <v>674</v>
      </c>
      <c r="H307" s="27">
        <v>488</v>
      </c>
      <c r="I307" s="20" t="s">
        <v>668</v>
      </c>
      <c r="J307" s="6" t="s">
        <v>1012</v>
      </c>
      <c r="K307" s="6" t="s">
        <v>1007</v>
      </c>
      <c r="L307" s="6" t="s">
        <v>445</v>
      </c>
      <c r="M307" s="6" t="s">
        <v>446</v>
      </c>
      <c r="N307" s="6" t="s">
        <v>444</v>
      </c>
      <c r="O307" s="20" t="s">
        <v>1008</v>
      </c>
      <c r="P307" s="20" t="s">
        <v>236</v>
      </c>
      <c r="Q307" s="22" t="s">
        <v>448</v>
      </c>
      <c r="R307" s="6" t="s">
        <v>1009</v>
      </c>
      <c r="S307" s="6" t="s">
        <v>1010</v>
      </c>
    </row>
    <row r="308" ht="45" customHeight="1" spans="1:19" x14ac:dyDescent="0.25">
      <c r="A308" s="20" t="s">
        <v>442</v>
      </c>
      <c r="B308" s="20" t="s">
        <v>442</v>
      </c>
      <c r="C308" s="6" t="s">
        <v>1011</v>
      </c>
      <c r="D308" s="6" t="s">
        <v>989</v>
      </c>
      <c r="E308" s="20">
        <v>3.5</v>
      </c>
      <c r="F308" s="20"/>
      <c r="G308" s="20" t="s">
        <v>674</v>
      </c>
      <c r="H308" s="27">
        <v>922</v>
      </c>
      <c r="I308" s="20" t="s">
        <v>668</v>
      </c>
      <c r="J308" s="6" t="s">
        <v>1012</v>
      </c>
      <c r="K308" s="6" t="s">
        <v>1007</v>
      </c>
      <c r="L308" s="6" t="s">
        <v>445</v>
      </c>
      <c r="M308" s="6" t="s">
        <v>446</v>
      </c>
      <c r="N308" s="6" t="s">
        <v>444</v>
      </c>
      <c r="O308" s="20" t="s">
        <v>1008</v>
      </c>
      <c r="P308" s="20" t="s">
        <v>236</v>
      </c>
      <c r="Q308" s="22" t="s">
        <v>448</v>
      </c>
      <c r="R308" s="6" t="s">
        <v>1009</v>
      </c>
      <c r="S308" s="6" t="s">
        <v>1010</v>
      </c>
    </row>
    <row r="309" ht="45" customHeight="1" spans="1:19" x14ac:dyDescent="0.25">
      <c r="A309" s="20" t="s">
        <v>442</v>
      </c>
      <c r="B309" s="20" t="s">
        <v>442</v>
      </c>
      <c r="C309" s="6" t="s">
        <v>1013</v>
      </c>
      <c r="D309" s="6" t="s">
        <v>1005</v>
      </c>
      <c r="E309" s="20"/>
      <c r="F309" s="20">
        <v>3.5</v>
      </c>
      <c r="G309" s="20" t="s">
        <v>667</v>
      </c>
      <c r="H309" s="27">
        <v>20</v>
      </c>
      <c r="I309" s="20" t="s">
        <v>668</v>
      </c>
      <c r="J309" s="6"/>
      <c r="K309" s="6" t="s">
        <v>1014</v>
      </c>
      <c r="L309" s="6" t="s">
        <v>445</v>
      </c>
      <c r="M309" s="6" t="s">
        <v>446</v>
      </c>
      <c r="N309" s="6" t="s">
        <v>444</v>
      </c>
      <c r="O309" s="20" t="s">
        <v>1008</v>
      </c>
      <c r="P309" s="20" t="s">
        <v>236</v>
      </c>
      <c r="Q309" s="22" t="s">
        <v>448</v>
      </c>
      <c r="R309" s="6" t="s">
        <v>1009</v>
      </c>
      <c r="S309" s="6" t="s">
        <v>1010</v>
      </c>
    </row>
    <row r="310" ht="45" customHeight="1" spans="1:19" x14ac:dyDescent="0.25">
      <c r="A310" s="20" t="s">
        <v>442</v>
      </c>
      <c r="B310" s="20" t="s">
        <v>442</v>
      </c>
      <c r="C310" s="6" t="s">
        <v>1013</v>
      </c>
      <c r="D310" s="6" t="s">
        <v>989</v>
      </c>
      <c r="E310" s="20">
        <v>3.5</v>
      </c>
      <c r="F310" s="20"/>
      <c r="G310" s="20" t="s">
        <v>667</v>
      </c>
      <c r="H310" s="27">
        <v>42</v>
      </c>
      <c r="I310" s="20" t="s">
        <v>668</v>
      </c>
      <c r="J310" s="6"/>
      <c r="K310" s="6" t="s">
        <v>1014</v>
      </c>
      <c r="L310" s="6" t="s">
        <v>445</v>
      </c>
      <c r="M310" s="6" t="s">
        <v>446</v>
      </c>
      <c r="N310" s="6" t="s">
        <v>444</v>
      </c>
      <c r="O310" s="20" t="s">
        <v>1008</v>
      </c>
      <c r="P310" s="20" t="s">
        <v>236</v>
      </c>
      <c r="Q310" s="22" t="s">
        <v>448</v>
      </c>
      <c r="R310" s="6" t="s">
        <v>1009</v>
      </c>
      <c r="S310" s="6" t="s">
        <v>1010</v>
      </c>
    </row>
    <row r="311" ht="45" customHeight="1" spans="1:19" x14ac:dyDescent="0.25">
      <c r="A311" s="20" t="s">
        <v>442</v>
      </c>
      <c r="B311" s="20" t="s">
        <v>442</v>
      </c>
      <c r="C311" s="6" t="s">
        <v>1015</v>
      </c>
      <c r="D311" s="6" t="s">
        <v>1016</v>
      </c>
      <c r="E311" s="20">
        <v>5</v>
      </c>
      <c r="F311" s="20">
        <v>10</v>
      </c>
      <c r="G311" s="20" t="s">
        <v>667</v>
      </c>
      <c r="H311" s="27">
        <v>42</v>
      </c>
      <c r="I311" s="20" t="s">
        <v>668</v>
      </c>
      <c r="J311" s="6"/>
      <c r="K311" s="6" t="s">
        <v>1017</v>
      </c>
      <c r="L311" s="6" t="s">
        <v>445</v>
      </c>
      <c r="M311" s="6" t="s">
        <v>446</v>
      </c>
      <c r="N311" s="6" t="s">
        <v>444</v>
      </c>
      <c r="O311" s="20" t="s">
        <v>1008</v>
      </c>
      <c r="P311" s="20" t="s">
        <v>236</v>
      </c>
      <c r="Q311" s="22" t="s">
        <v>448</v>
      </c>
      <c r="R311" s="6" t="s">
        <v>1009</v>
      </c>
      <c r="S311" s="6" t="s">
        <v>1018</v>
      </c>
    </row>
    <row r="312" ht="45" customHeight="1" spans="1:19" x14ac:dyDescent="0.25">
      <c r="A312" s="20" t="s">
        <v>442</v>
      </c>
      <c r="B312" s="20" t="s">
        <v>442</v>
      </c>
      <c r="C312" s="6" t="s">
        <v>1015</v>
      </c>
      <c r="D312" s="6" t="s">
        <v>1019</v>
      </c>
      <c r="E312" s="20">
        <v>10</v>
      </c>
      <c r="F312" s="20">
        <v>16</v>
      </c>
      <c r="G312" s="20" t="s">
        <v>667</v>
      </c>
      <c r="H312" s="27">
        <v>203</v>
      </c>
      <c r="I312" s="20" t="s">
        <v>668</v>
      </c>
      <c r="J312" s="6"/>
      <c r="K312" s="6" t="s">
        <v>1017</v>
      </c>
      <c r="L312" s="6" t="s">
        <v>445</v>
      </c>
      <c r="M312" s="6" t="s">
        <v>446</v>
      </c>
      <c r="N312" s="6" t="s">
        <v>444</v>
      </c>
      <c r="O312" s="20" t="s">
        <v>1008</v>
      </c>
      <c r="P312" s="20" t="s">
        <v>236</v>
      </c>
      <c r="Q312" s="22" t="s">
        <v>448</v>
      </c>
      <c r="R312" s="6" t="s">
        <v>1009</v>
      </c>
      <c r="S312" s="6" t="s">
        <v>1018</v>
      </c>
    </row>
    <row r="313" ht="45" customHeight="1" spans="1:19" x14ac:dyDescent="0.25">
      <c r="A313" s="20" t="s">
        <v>442</v>
      </c>
      <c r="B313" s="20" t="s">
        <v>442</v>
      </c>
      <c r="C313" s="6" t="s">
        <v>1020</v>
      </c>
      <c r="D313" s="6" t="s">
        <v>1021</v>
      </c>
      <c r="E313" s="20">
        <v>10</v>
      </c>
      <c r="F313" s="20"/>
      <c r="G313" s="20" t="s">
        <v>667</v>
      </c>
      <c r="H313" s="27">
        <v>28</v>
      </c>
      <c r="I313" s="20" t="s">
        <v>668</v>
      </c>
      <c r="J313" s="6"/>
      <c r="K313" s="6" t="s">
        <v>1017</v>
      </c>
      <c r="L313" s="6" t="s">
        <v>445</v>
      </c>
      <c r="M313" s="6" t="s">
        <v>446</v>
      </c>
      <c r="N313" s="6" t="s">
        <v>444</v>
      </c>
      <c r="O313" s="20" t="s">
        <v>1008</v>
      </c>
      <c r="P313" s="20" t="s">
        <v>236</v>
      </c>
      <c r="Q313" s="22" t="s">
        <v>448</v>
      </c>
      <c r="R313" s="6" t="s">
        <v>1009</v>
      </c>
      <c r="S313" s="6" t="s">
        <v>1022</v>
      </c>
    </row>
    <row r="314" ht="45" customHeight="1" spans="1:19" x14ac:dyDescent="0.25">
      <c r="A314" s="20" t="s">
        <v>442</v>
      </c>
      <c r="B314" s="20" t="s">
        <v>442</v>
      </c>
      <c r="C314" s="6" t="s">
        <v>1023</v>
      </c>
      <c r="D314" s="6" t="s">
        <v>1024</v>
      </c>
      <c r="E314" s="20">
        <v>26</v>
      </c>
      <c r="F314" s="20"/>
      <c r="G314" s="20" t="s">
        <v>667</v>
      </c>
      <c r="H314" s="27">
        <v>28</v>
      </c>
      <c r="I314" s="20" t="s">
        <v>668</v>
      </c>
      <c r="J314" s="6"/>
      <c r="K314" s="6" t="s">
        <v>1017</v>
      </c>
      <c r="L314" s="6" t="s">
        <v>445</v>
      </c>
      <c r="M314" s="6" t="s">
        <v>446</v>
      </c>
      <c r="N314" s="6" t="s">
        <v>444</v>
      </c>
      <c r="O314" s="20" t="s">
        <v>1008</v>
      </c>
      <c r="P314" s="20" t="s">
        <v>236</v>
      </c>
      <c r="Q314" s="22" t="s">
        <v>448</v>
      </c>
      <c r="R314" s="6" t="s">
        <v>1009</v>
      </c>
      <c r="S314" s="6" t="s">
        <v>1025</v>
      </c>
    </row>
    <row r="315" ht="45" customHeight="1" spans="1:19" x14ac:dyDescent="0.25">
      <c r="A315" s="20" t="s">
        <v>442</v>
      </c>
      <c r="B315" s="20" t="s">
        <v>442</v>
      </c>
      <c r="C315" s="6" t="s">
        <v>1026</v>
      </c>
      <c r="D315" s="6" t="s">
        <v>1027</v>
      </c>
      <c r="E315" s="20"/>
      <c r="F315" s="20">
        <v>42</v>
      </c>
      <c r="G315" s="20" t="s">
        <v>735</v>
      </c>
      <c r="H315" s="27">
        <v>271242</v>
      </c>
      <c r="I315" s="20" t="s">
        <v>668</v>
      </c>
      <c r="J315" s="6"/>
      <c r="K315" s="6" t="s">
        <v>1028</v>
      </c>
      <c r="L315" s="6" t="s">
        <v>445</v>
      </c>
      <c r="M315" s="6" t="s">
        <v>446</v>
      </c>
      <c r="N315" s="6" t="s">
        <v>444</v>
      </c>
      <c r="O315" s="20" t="s">
        <v>1008</v>
      </c>
      <c r="P315" s="20" t="s">
        <v>236</v>
      </c>
      <c r="Q315" s="22" t="s">
        <v>448</v>
      </c>
      <c r="R315" s="6" t="s">
        <v>1009</v>
      </c>
      <c r="S315" s="6"/>
    </row>
    <row r="316" ht="45" customHeight="1" spans="1:19" x14ac:dyDescent="0.25">
      <c r="A316" s="20" t="s">
        <v>442</v>
      </c>
      <c r="B316" s="20" t="s">
        <v>442</v>
      </c>
      <c r="C316" s="6" t="s">
        <v>1026</v>
      </c>
      <c r="D316" s="6" t="s">
        <v>1027</v>
      </c>
      <c r="E316" s="20"/>
      <c r="F316" s="20">
        <v>42</v>
      </c>
      <c r="G316" s="20" t="s">
        <v>1029</v>
      </c>
      <c r="H316" s="27">
        <v>67811</v>
      </c>
      <c r="I316" s="20" t="s">
        <v>668</v>
      </c>
      <c r="J316" s="6"/>
      <c r="K316" s="6" t="s">
        <v>1030</v>
      </c>
      <c r="L316" s="6" t="s">
        <v>445</v>
      </c>
      <c r="M316" s="6" t="s">
        <v>446</v>
      </c>
      <c r="N316" s="6" t="s">
        <v>444</v>
      </c>
      <c r="O316" s="20" t="s">
        <v>1008</v>
      </c>
      <c r="P316" s="20" t="s">
        <v>236</v>
      </c>
      <c r="Q316" s="22" t="s">
        <v>448</v>
      </c>
      <c r="R316" s="6" t="s">
        <v>1009</v>
      </c>
      <c r="S316" s="6"/>
    </row>
    <row r="317" ht="45" customHeight="1" spans="1:19" x14ac:dyDescent="0.25">
      <c r="A317" s="20" t="s">
        <v>442</v>
      </c>
      <c r="B317" s="20" t="s">
        <v>442</v>
      </c>
      <c r="C317" s="6" t="s">
        <v>1031</v>
      </c>
      <c r="D317" s="6" t="s">
        <v>1027</v>
      </c>
      <c r="E317" s="20"/>
      <c r="F317" s="20">
        <v>42</v>
      </c>
      <c r="G317" s="20" t="s">
        <v>735</v>
      </c>
      <c r="H317" s="27">
        <v>32323</v>
      </c>
      <c r="I317" s="20" t="s">
        <v>668</v>
      </c>
      <c r="J317" s="6"/>
      <c r="K317" s="6" t="s">
        <v>1032</v>
      </c>
      <c r="L317" s="6" t="s">
        <v>445</v>
      </c>
      <c r="M317" s="6" t="s">
        <v>446</v>
      </c>
      <c r="N317" s="6" t="s">
        <v>444</v>
      </c>
      <c r="O317" s="20" t="s">
        <v>1008</v>
      </c>
      <c r="P317" s="20" t="s">
        <v>236</v>
      </c>
      <c r="Q317" s="22" t="s">
        <v>448</v>
      </c>
      <c r="R317" s="6" t="s">
        <v>1009</v>
      </c>
      <c r="S317" s="6"/>
    </row>
    <row r="318" ht="45" customHeight="1" spans="1:19" x14ac:dyDescent="0.25">
      <c r="A318" s="20" t="s">
        <v>442</v>
      </c>
      <c r="B318" s="20" t="s">
        <v>442</v>
      </c>
      <c r="C318" s="6" t="s">
        <v>1031</v>
      </c>
      <c r="D318" s="6" t="s">
        <v>1027</v>
      </c>
      <c r="E318" s="20"/>
      <c r="F318" s="20">
        <v>42</v>
      </c>
      <c r="G318" s="20" t="s">
        <v>1029</v>
      </c>
      <c r="H318" s="27">
        <v>8081</v>
      </c>
      <c r="I318" s="20" t="s">
        <v>668</v>
      </c>
      <c r="J318" s="6"/>
      <c r="K318" s="6" t="s">
        <v>1030</v>
      </c>
      <c r="L318" s="6" t="s">
        <v>445</v>
      </c>
      <c r="M318" s="6" t="s">
        <v>446</v>
      </c>
      <c r="N318" s="6" t="s">
        <v>444</v>
      </c>
      <c r="O318" s="20" t="s">
        <v>1008</v>
      </c>
      <c r="P318" s="20" t="s">
        <v>236</v>
      </c>
      <c r="Q318" s="22" t="s">
        <v>448</v>
      </c>
      <c r="R318" s="6" t="s">
        <v>1009</v>
      </c>
      <c r="S318" s="6"/>
    </row>
    <row r="319" ht="45" customHeight="1" spans="1:19" x14ac:dyDescent="0.25">
      <c r="A319" s="20" t="s">
        <v>442</v>
      </c>
      <c r="B319" s="20" t="s">
        <v>442</v>
      </c>
      <c r="C319" s="6" t="s">
        <v>1033</v>
      </c>
      <c r="D319" s="6" t="s">
        <v>989</v>
      </c>
      <c r="E319" s="20">
        <v>3.5</v>
      </c>
      <c r="F319" s="20"/>
      <c r="G319" s="20" t="s">
        <v>716</v>
      </c>
      <c r="H319" s="27"/>
      <c r="I319" s="20"/>
      <c r="J319" s="6" t="s">
        <v>1034</v>
      </c>
      <c r="K319" s="6" t="s">
        <v>1035</v>
      </c>
      <c r="L319" s="6" t="s">
        <v>445</v>
      </c>
      <c r="M319" s="6" t="s">
        <v>446</v>
      </c>
      <c r="N319" s="6" t="s">
        <v>444</v>
      </c>
      <c r="O319" s="20" t="s">
        <v>1036</v>
      </c>
      <c r="P319" s="20" t="s">
        <v>236</v>
      </c>
      <c r="Q319" s="22" t="s">
        <v>1037</v>
      </c>
      <c r="R319" s="6" t="s">
        <v>1038</v>
      </c>
      <c r="S319" s="6" t="s">
        <v>1039</v>
      </c>
    </row>
    <row r="320" ht="45" customHeight="1" spans="1:19" x14ac:dyDescent="0.25">
      <c r="A320" s="20" t="s">
        <v>449</v>
      </c>
      <c r="B320" s="20" t="s">
        <v>449</v>
      </c>
      <c r="C320" s="6" t="s">
        <v>1040</v>
      </c>
      <c r="D320" s="6" t="s">
        <v>1041</v>
      </c>
      <c r="E320" s="20">
        <v>3.5</v>
      </c>
      <c r="F320" s="20">
        <v>5</v>
      </c>
      <c r="G320" s="20" t="s">
        <v>667</v>
      </c>
      <c r="H320" s="27">
        <v>60</v>
      </c>
      <c r="I320" s="20" t="s">
        <v>668</v>
      </c>
      <c r="J320" s="6"/>
      <c r="K320" s="6" t="s">
        <v>1042</v>
      </c>
      <c r="L320" s="6" t="s">
        <v>452</v>
      </c>
      <c r="M320" s="6" t="s">
        <v>453</v>
      </c>
      <c r="N320" s="6" t="s">
        <v>451</v>
      </c>
      <c r="O320" s="20" t="s">
        <v>1043</v>
      </c>
      <c r="P320" s="20" t="s">
        <v>236</v>
      </c>
      <c r="Q320" s="22" t="s">
        <v>454</v>
      </c>
      <c r="R320" s="6" t="s">
        <v>1044</v>
      </c>
      <c r="S320" s="6" t="s">
        <v>1045</v>
      </c>
    </row>
    <row r="321" ht="45" customHeight="1" spans="1:19" x14ac:dyDescent="0.25">
      <c r="A321" s="20" t="s">
        <v>449</v>
      </c>
      <c r="B321" s="20" t="s">
        <v>449</v>
      </c>
      <c r="C321" s="6" t="s">
        <v>1040</v>
      </c>
      <c r="D321" s="6" t="s">
        <v>1041</v>
      </c>
      <c r="E321" s="20">
        <v>3.5</v>
      </c>
      <c r="F321" s="20">
        <v>5</v>
      </c>
      <c r="G321" s="20" t="s">
        <v>674</v>
      </c>
      <c r="H321" s="27">
        <v>225</v>
      </c>
      <c r="I321" s="20" t="s">
        <v>668</v>
      </c>
      <c r="J321" s="6"/>
      <c r="K321" s="6" t="s">
        <v>1046</v>
      </c>
      <c r="L321" s="6" t="s">
        <v>452</v>
      </c>
      <c r="M321" s="6" t="s">
        <v>453</v>
      </c>
      <c r="N321" s="6" t="s">
        <v>451</v>
      </c>
      <c r="O321" s="20" t="s">
        <v>1043</v>
      </c>
      <c r="P321" s="20" t="s">
        <v>236</v>
      </c>
      <c r="Q321" s="22" t="s">
        <v>454</v>
      </c>
      <c r="R321" s="6" t="s">
        <v>1044</v>
      </c>
      <c r="S321" s="6" t="s">
        <v>1045</v>
      </c>
    </row>
    <row r="322" ht="45" customHeight="1" spans="1:19" x14ac:dyDescent="0.25">
      <c r="A322" s="20" t="s">
        <v>449</v>
      </c>
      <c r="B322" s="20" t="s">
        <v>449</v>
      </c>
      <c r="C322" s="6" t="s">
        <v>1040</v>
      </c>
      <c r="D322" s="6" t="s">
        <v>1041</v>
      </c>
      <c r="E322" s="20">
        <v>3.5</v>
      </c>
      <c r="F322" s="20">
        <v>5</v>
      </c>
      <c r="G322" s="20" t="s">
        <v>735</v>
      </c>
      <c r="H322" s="27">
        <v>1990</v>
      </c>
      <c r="I322" s="20" t="s">
        <v>668</v>
      </c>
      <c r="J322" s="6"/>
      <c r="K322" s="6" t="s">
        <v>1042</v>
      </c>
      <c r="L322" s="6" t="s">
        <v>452</v>
      </c>
      <c r="M322" s="6" t="s">
        <v>453</v>
      </c>
      <c r="N322" s="6" t="s">
        <v>451</v>
      </c>
      <c r="O322" s="20" t="s">
        <v>1043</v>
      </c>
      <c r="P322" s="20" t="s">
        <v>236</v>
      </c>
      <c r="Q322" s="22" t="s">
        <v>454</v>
      </c>
      <c r="R322" s="6" t="s">
        <v>1044</v>
      </c>
      <c r="S322" s="6" t="s">
        <v>1045</v>
      </c>
    </row>
    <row r="323" ht="45" customHeight="1" spans="1:19" x14ac:dyDescent="0.25">
      <c r="A323" s="20" t="s">
        <v>449</v>
      </c>
      <c r="B323" s="20" t="s">
        <v>449</v>
      </c>
      <c r="C323" s="6" t="s">
        <v>1040</v>
      </c>
      <c r="D323" s="6" t="s">
        <v>1047</v>
      </c>
      <c r="E323" s="20">
        <v>5</v>
      </c>
      <c r="F323" s="20">
        <v>10</v>
      </c>
      <c r="G323" s="20" t="s">
        <v>667</v>
      </c>
      <c r="H323" s="27">
        <v>65</v>
      </c>
      <c r="I323" s="20" t="s">
        <v>668</v>
      </c>
      <c r="J323" s="6"/>
      <c r="K323" s="6" t="s">
        <v>1042</v>
      </c>
      <c r="L323" s="6" t="s">
        <v>452</v>
      </c>
      <c r="M323" s="6" t="s">
        <v>453</v>
      </c>
      <c r="N323" s="6" t="s">
        <v>451</v>
      </c>
      <c r="O323" s="20" t="s">
        <v>1043</v>
      </c>
      <c r="P323" s="20" t="s">
        <v>236</v>
      </c>
      <c r="Q323" s="22" t="s">
        <v>454</v>
      </c>
      <c r="R323" s="6" t="s">
        <v>1044</v>
      </c>
      <c r="S323" s="6" t="s">
        <v>1045</v>
      </c>
    </row>
    <row r="324" ht="45" customHeight="1" spans="1:19" x14ac:dyDescent="0.25">
      <c r="A324" s="20" t="s">
        <v>449</v>
      </c>
      <c r="B324" s="20" t="s">
        <v>449</v>
      </c>
      <c r="C324" s="6" t="s">
        <v>1040</v>
      </c>
      <c r="D324" s="6" t="s">
        <v>1047</v>
      </c>
      <c r="E324" s="20">
        <v>5</v>
      </c>
      <c r="F324" s="20">
        <v>10</v>
      </c>
      <c r="G324" s="20" t="s">
        <v>674</v>
      </c>
      <c r="H324" s="27">
        <v>340</v>
      </c>
      <c r="I324" s="20" t="s">
        <v>668</v>
      </c>
      <c r="J324" s="6"/>
      <c r="K324" s="6" t="s">
        <v>1046</v>
      </c>
      <c r="L324" s="6" t="s">
        <v>452</v>
      </c>
      <c r="M324" s="6" t="s">
        <v>453</v>
      </c>
      <c r="N324" s="6" t="s">
        <v>451</v>
      </c>
      <c r="O324" s="20" t="s">
        <v>1043</v>
      </c>
      <c r="P324" s="20" t="s">
        <v>236</v>
      </c>
      <c r="Q324" s="22" t="s">
        <v>454</v>
      </c>
      <c r="R324" s="6" t="s">
        <v>1044</v>
      </c>
      <c r="S324" s="6" t="s">
        <v>1045</v>
      </c>
    </row>
    <row r="325" ht="45" customHeight="1" spans="1:19" x14ac:dyDescent="0.25">
      <c r="A325" s="20" t="s">
        <v>449</v>
      </c>
      <c r="B325" s="20" t="s">
        <v>449</v>
      </c>
      <c r="C325" s="6" t="s">
        <v>1040</v>
      </c>
      <c r="D325" s="6" t="s">
        <v>1047</v>
      </c>
      <c r="E325" s="20">
        <v>5</v>
      </c>
      <c r="F325" s="20">
        <v>10</v>
      </c>
      <c r="G325" s="20" t="s">
        <v>735</v>
      </c>
      <c r="H325" s="27">
        <v>2790</v>
      </c>
      <c r="I325" s="20" t="s">
        <v>668</v>
      </c>
      <c r="J325" s="6"/>
      <c r="K325" s="6" t="s">
        <v>1042</v>
      </c>
      <c r="L325" s="6" t="s">
        <v>452</v>
      </c>
      <c r="M325" s="6" t="s">
        <v>453</v>
      </c>
      <c r="N325" s="6" t="s">
        <v>451</v>
      </c>
      <c r="O325" s="20" t="s">
        <v>1043</v>
      </c>
      <c r="P325" s="20" t="s">
        <v>236</v>
      </c>
      <c r="Q325" s="22" t="s">
        <v>454</v>
      </c>
      <c r="R325" s="6" t="s">
        <v>1044</v>
      </c>
      <c r="S325" s="6" t="s">
        <v>1045</v>
      </c>
    </row>
    <row r="326" ht="45" customHeight="1" spans="1:19" x14ac:dyDescent="0.25">
      <c r="A326" s="20" t="s">
        <v>449</v>
      </c>
      <c r="B326" s="20" t="s">
        <v>449</v>
      </c>
      <c r="C326" s="6" t="s">
        <v>1040</v>
      </c>
      <c r="D326" s="6" t="s">
        <v>1048</v>
      </c>
      <c r="E326" s="20">
        <v>10</v>
      </c>
      <c r="F326" s="20">
        <v>15</v>
      </c>
      <c r="G326" s="20" t="s">
        <v>667</v>
      </c>
      <c r="H326" s="27">
        <v>80</v>
      </c>
      <c r="I326" s="20" t="s">
        <v>668</v>
      </c>
      <c r="J326" s="6"/>
      <c r="K326" s="6" t="s">
        <v>1042</v>
      </c>
      <c r="L326" s="6" t="s">
        <v>452</v>
      </c>
      <c r="M326" s="6" t="s">
        <v>453</v>
      </c>
      <c r="N326" s="6" t="s">
        <v>451</v>
      </c>
      <c r="O326" s="20" t="s">
        <v>1043</v>
      </c>
      <c r="P326" s="20" t="s">
        <v>236</v>
      </c>
      <c r="Q326" s="22" t="s">
        <v>454</v>
      </c>
      <c r="R326" s="6" t="s">
        <v>1049</v>
      </c>
      <c r="S326" s="6" t="s">
        <v>1045</v>
      </c>
    </row>
    <row r="327" ht="45" customHeight="1" spans="1:19" x14ac:dyDescent="0.25">
      <c r="A327" s="20" t="s">
        <v>449</v>
      </c>
      <c r="B327" s="20" t="s">
        <v>449</v>
      </c>
      <c r="C327" s="6" t="s">
        <v>1040</v>
      </c>
      <c r="D327" s="6" t="s">
        <v>1048</v>
      </c>
      <c r="E327" s="20">
        <v>10</v>
      </c>
      <c r="F327" s="20">
        <v>15</v>
      </c>
      <c r="G327" s="20" t="s">
        <v>674</v>
      </c>
      <c r="H327" s="27">
        <v>410</v>
      </c>
      <c r="I327" s="20" t="s">
        <v>668</v>
      </c>
      <c r="J327" s="6"/>
      <c r="K327" s="6" t="s">
        <v>1046</v>
      </c>
      <c r="L327" s="6" t="s">
        <v>452</v>
      </c>
      <c r="M327" s="6" t="s">
        <v>453</v>
      </c>
      <c r="N327" s="6" t="s">
        <v>451</v>
      </c>
      <c r="O327" s="20" t="s">
        <v>1043</v>
      </c>
      <c r="P327" s="20" t="s">
        <v>236</v>
      </c>
      <c r="Q327" s="22" t="s">
        <v>454</v>
      </c>
      <c r="R327" s="6" t="s">
        <v>1049</v>
      </c>
      <c r="S327" s="6" t="s">
        <v>1045</v>
      </c>
    </row>
    <row r="328" ht="45" customHeight="1" spans="1:19" x14ac:dyDescent="0.25">
      <c r="A328" s="20" t="s">
        <v>449</v>
      </c>
      <c r="B328" s="20" t="s">
        <v>449</v>
      </c>
      <c r="C328" s="6" t="s">
        <v>1040</v>
      </c>
      <c r="D328" s="6" t="s">
        <v>1048</v>
      </c>
      <c r="E328" s="20">
        <v>10</v>
      </c>
      <c r="F328" s="20">
        <v>15</v>
      </c>
      <c r="G328" s="20" t="s">
        <v>735</v>
      </c>
      <c r="H328" s="27">
        <v>3520</v>
      </c>
      <c r="I328" s="20" t="s">
        <v>668</v>
      </c>
      <c r="J328" s="6"/>
      <c r="K328" s="6" t="s">
        <v>1042</v>
      </c>
      <c r="L328" s="6" t="s">
        <v>452</v>
      </c>
      <c r="M328" s="6" t="s">
        <v>453</v>
      </c>
      <c r="N328" s="6" t="s">
        <v>451</v>
      </c>
      <c r="O328" s="20" t="s">
        <v>1043</v>
      </c>
      <c r="P328" s="20" t="s">
        <v>236</v>
      </c>
      <c r="Q328" s="22" t="s">
        <v>454</v>
      </c>
      <c r="R328" s="6" t="s">
        <v>1049</v>
      </c>
      <c r="S328" s="6" t="s">
        <v>1045</v>
      </c>
    </row>
    <row r="329" ht="45" customHeight="1" spans="1:19" x14ac:dyDescent="0.25">
      <c r="A329" s="20" t="s">
        <v>449</v>
      </c>
      <c r="B329" s="20" t="s">
        <v>449</v>
      </c>
      <c r="C329" s="6" t="s">
        <v>1040</v>
      </c>
      <c r="D329" s="6" t="s">
        <v>1050</v>
      </c>
      <c r="E329" s="20">
        <v>15</v>
      </c>
      <c r="F329" s="20">
        <v>20</v>
      </c>
      <c r="G329" s="20" t="s">
        <v>667</v>
      </c>
      <c r="H329" s="27">
        <v>95</v>
      </c>
      <c r="I329" s="20" t="s">
        <v>668</v>
      </c>
      <c r="J329" s="6"/>
      <c r="K329" s="6" t="s">
        <v>1042</v>
      </c>
      <c r="L329" s="6" t="s">
        <v>452</v>
      </c>
      <c r="M329" s="6" t="s">
        <v>453</v>
      </c>
      <c r="N329" s="6" t="s">
        <v>451</v>
      </c>
      <c r="O329" s="20" t="s">
        <v>1043</v>
      </c>
      <c r="P329" s="20" t="s">
        <v>236</v>
      </c>
      <c r="Q329" s="22" t="s">
        <v>454</v>
      </c>
      <c r="R329" s="6" t="s">
        <v>1044</v>
      </c>
      <c r="S329" s="6" t="s">
        <v>1045</v>
      </c>
    </row>
    <row r="330" ht="45" customHeight="1" spans="1:19" x14ac:dyDescent="0.25">
      <c r="A330" s="20" t="s">
        <v>449</v>
      </c>
      <c r="B330" s="20" t="s">
        <v>449</v>
      </c>
      <c r="C330" s="6" t="s">
        <v>1040</v>
      </c>
      <c r="D330" s="6" t="s">
        <v>1050</v>
      </c>
      <c r="E330" s="20">
        <v>15</v>
      </c>
      <c r="F330" s="20">
        <v>20</v>
      </c>
      <c r="G330" s="20" t="s">
        <v>674</v>
      </c>
      <c r="H330" s="27">
        <v>545</v>
      </c>
      <c r="I330" s="20" t="s">
        <v>668</v>
      </c>
      <c r="J330" s="6"/>
      <c r="K330" s="6" t="s">
        <v>1046</v>
      </c>
      <c r="L330" s="6" t="s">
        <v>452</v>
      </c>
      <c r="M330" s="6" t="s">
        <v>453</v>
      </c>
      <c r="N330" s="6" t="s">
        <v>451</v>
      </c>
      <c r="O330" s="20" t="s">
        <v>1043</v>
      </c>
      <c r="P330" s="20" t="s">
        <v>236</v>
      </c>
      <c r="Q330" s="22" t="s">
        <v>454</v>
      </c>
      <c r="R330" s="6" t="s">
        <v>1044</v>
      </c>
      <c r="S330" s="6" t="s">
        <v>1045</v>
      </c>
    </row>
    <row r="331" ht="45" customHeight="1" spans="1:19" x14ac:dyDescent="0.25">
      <c r="A331" s="20" t="s">
        <v>449</v>
      </c>
      <c r="B331" s="20" t="s">
        <v>449</v>
      </c>
      <c r="C331" s="6" t="s">
        <v>1040</v>
      </c>
      <c r="D331" s="6" t="s">
        <v>1050</v>
      </c>
      <c r="E331" s="20">
        <v>15</v>
      </c>
      <c r="F331" s="20">
        <v>20</v>
      </c>
      <c r="G331" s="20" t="s">
        <v>735</v>
      </c>
      <c r="H331" s="27">
        <v>4575</v>
      </c>
      <c r="I331" s="20" t="s">
        <v>668</v>
      </c>
      <c r="J331" s="6"/>
      <c r="K331" s="6" t="s">
        <v>1042</v>
      </c>
      <c r="L331" s="6" t="s">
        <v>452</v>
      </c>
      <c r="M331" s="6" t="s">
        <v>453</v>
      </c>
      <c r="N331" s="6" t="s">
        <v>451</v>
      </c>
      <c r="O331" s="20" t="s">
        <v>1043</v>
      </c>
      <c r="P331" s="20" t="s">
        <v>236</v>
      </c>
      <c r="Q331" s="22" t="s">
        <v>454</v>
      </c>
      <c r="R331" s="6" t="s">
        <v>1044</v>
      </c>
      <c r="S331" s="6" t="s">
        <v>1045</v>
      </c>
    </row>
    <row r="332" ht="45" customHeight="1" spans="1:19" x14ac:dyDescent="0.25">
      <c r="A332" s="20" t="s">
        <v>449</v>
      </c>
      <c r="B332" s="20" t="s">
        <v>449</v>
      </c>
      <c r="C332" s="6" t="s">
        <v>1040</v>
      </c>
      <c r="D332" s="6" t="s">
        <v>1051</v>
      </c>
      <c r="E332" s="20">
        <v>20</v>
      </c>
      <c r="F332" s="20">
        <v>30</v>
      </c>
      <c r="G332" s="20" t="s">
        <v>667</v>
      </c>
      <c r="H332" s="27">
        <v>115</v>
      </c>
      <c r="I332" s="20" t="s">
        <v>668</v>
      </c>
      <c r="J332" s="6"/>
      <c r="K332" s="6" t="s">
        <v>1042</v>
      </c>
      <c r="L332" s="6" t="s">
        <v>452</v>
      </c>
      <c r="M332" s="6" t="s">
        <v>453</v>
      </c>
      <c r="N332" s="6" t="s">
        <v>451</v>
      </c>
      <c r="O332" s="20" t="s">
        <v>1043</v>
      </c>
      <c r="P332" s="20" t="s">
        <v>236</v>
      </c>
      <c r="Q332" s="22" t="s">
        <v>454</v>
      </c>
      <c r="R332" s="6" t="s">
        <v>1044</v>
      </c>
      <c r="S332" s="6" t="s">
        <v>1045</v>
      </c>
    </row>
    <row r="333" ht="45" customHeight="1" spans="1:19" x14ac:dyDescent="0.25">
      <c r="A333" s="20" t="s">
        <v>449</v>
      </c>
      <c r="B333" s="20" t="s">
        <v>449</v>
      </c>
      <c r="C333" s="6" t="s">
        <v>1040</v>
      </c>
      <c r="D333" s="6" t="s">
        <v>1051</v>
      </c>
      <c r="E333" s="20">
        <v>20</v>
      </c>
      <c r="F333" s="20">
        <v>30</v>
      </c>
      <c r="G333" s="20" t="s">
        <v>674</v>
      </c>
      <c r="H333" s="27">
        <v>570</v>
      </c>
      <c r="I333" s="20" t="s">
        <v>668</v>
      </c>
      <c r="J333" s="6"/>
      <c r="K333" s="6" t="s">
        <v>1046</v>
      </c>
      <c r="L333" s="6" t="s">
        <v>452</v>
      </c>
      <c r="M333" s="6" t="s">
        <v>453</v>
      </c>
      <c r="N333" s="6" t="s">
        <v>451</v>
      </c>
      <c r="O333" s="20" t="s">
        <v>1043</v>
      </c>
      <c r="P333" s="20" t="s">
        <v>236</v>
      </c>
      <c r="Q333" s="22" t="s">
        <v>454</v>
      </c>
      <c r="R333" s="6" t="s">
        <v>1044</v>
      </c>
      <c r="S333" s="6" t="s">
        <v>1045</v>
      </c>
    </row>
    <row r="334" ht="45" customHeight="1" spans="1:19" x14ac:dyDescent="0.25">
      <c r="A334" s="20" t="s">
        <v>449</v>
      </c>
      <c r="B334" s="20" t="s">
        <v>449</v>
      </c>
      <c r="C334" s="6" t="s">
        <v>1040</v>
      </c>
      <c r="D334" s="6" t="s">
        <v>1051</v>
      </c>
      <c r="E334" s="20">
        <v>20</v>
      </c>
      <c r="F334" s="20">
        <v>30</v>
      </c>
      <c r="G334" s="20" t="s">
        <v>735</v>
      </c>
      <c r="H334" s="27">
        <v>5770</v>
      </c>
      <c r="I334" s="20" t="s">
        <v>668</v>
      </c>
      <c r="J334" s="6"/>
      <c r="K334" s="6" t="s">
        <v>1042</v>
      </c>
      <c r="L334" s="6" t="s">
        <v>452</v>
      </c>
      <c r="M334" s="6" t="s">
        <v>453</v>
      </c>
      <c r="N334" s="6" t="s">
        <v>451</v>
      </c>
      <c r="O334" s="20" t="s">
        <v>1043</v>
      </c>
      <c r="P334" s="20" t="s">
        <v>236</v>
      </c>
      <c r="Q334" s="22" t="s">
        <v>454</v>
      </c>
      <c r="R334" s="6" t="s">
        <v>1044</v>
      </c>
      <c r="S334" s="6" t="s">
        <v>1045</v>
      </c>
    </row>
    <row r="335" ht="45" customHeight="1" spans="1:19" x14ac:dyDescent="0.25">
      <c r="A335" s="20" t="s">
        <v>449</v>
      </c>
      <c r="B335" s="20" t="s">
        <v>449</v>
      </c>
      <c r="C335" s="6" t="s">
        <v>1040</v>
      </c>
      <c r="D335" s="6" t="s">
        <v>1052</v>
      </c>
      <c r="E335" s="20">
        <v>30</v>
      </c>
      <c r="F335" s="20"/>
      <c r="G335" s="20" t="s">
        <v>667</v>
      </c>
      <c r="H335" s="27">
        <v>170</v>
      </c>
      <c r="I335" s="20" t="s">
        <v>668</v>
      </c>
      <c r="J335" s="6"/>
      <c r="K335" s="6" t="s">
        <v>1042</v>
      </c>
      <c r="L335" s="6" t="s">
        <v>452</v>
      </c>
      <c r="M335" s="6" t="s">
        <v>453</v>
      </c>
      <c r="N335" s="6" t="s">
        <v>451</v>
      </c>
      <c r="O335" s="20" t="s">
        <v>1043</v>
      </c>
      <c r="P335" s="20" t="s">
        <v>236</v>
      </c>
      <c r="Q335" s="22" t="s">
        <v>454</v>
      </c>
      <c r="R335" s="6" t="s">
        <v>1044</v>
      </c>
      <c r="S335" s="6" t="s">
        <v>1045</v>
      </c>
    </row>
    <row r="336" ht="45" customHeight="1" spans="1:19" x14ac:dyDescent="0.25">
      <c r="A336" s="20" t="s">
        <v>449</v>
      </c>
      <c r="B336" s="20" t="s">
        <v>449</v>
      </c>
      <c r="C336" s="6" t="s">
        <v>1040</v>
      </c>
      <c r="D336" s="6" t="s">
        <v>1052</v>
      </c>
      <c r="E336" s="20">
        <v>30</v>
      </c>
      <c r="F336" s="20"/>
      <c r="G336" s="20" t="s">
        <v>674</v>
      </c>
      <c r="H336" s="27">
        <v>1195</v>
      </c>
      <c r="I336" s="20" t="s">
        <v>668</v>
      </c>
      <c r="J336" s="6"/>
      <c r="K336" s="6" t="s">
        <v>1046</v>
      </c>
      <c r="L336" s="6" t="s">
        <v>452</v>
      </c>
      <c r="M336" s="6" t="s">
        <v>453</v>
      </c>
      <c r="N336" s="6" t="s">
        <v>451</v>
      </c>
      <c r="O336" s="20" t="s">
        <v>1043</v>
      </c>
      <c r="P336" s="20" t="s">
        <v>236</v>
      </c>
      <c r="Q336" s="22" t="s">
        <v>454</v>
      </c>
      <c r="R336" s="6" t="s">
        <v>1044</v>
      </c>
      <c r="S336" s="6" t="s">
        <v>1045</v>
      </c>
    </row>
    <row r="337" ht="45" customHeight="1" spans="1:19" x14ac:dyDescent="0.25">
      <c r="A337" s="20" t="s">
        <v>449</v>
      </c>
      <c r="B337" s="20" t="s">
        <v>449</v>
      </c>
      <c r="C337" s="6" t="s">
        <v>1040</v>
      </c>
      <c r="D337" s="6" t="s">
        <v>1052</v>
      </c>
      <c r="E337" s="20">
        <v>30</v>
      </c>
      <c r="F337" s="20"/>
      <c r="G337" s="20" t="s">
        <v>735</v>
      </c>
      <c r="H337" s="27">
        <v>10310</v>
      </c>
      <c r="I337" s="20" t="s">
        <v>668</v>
      </c>
      <c r="J337" s="6"/>
      <c r="K337" s="6" t="s">
        <v>1042</v>
      </c>
      <c r="L337" s="6" t="s">
        <v>452</v>
      </c>
      <c r="M337" s="6" t="s">
        <v>453</v>
      </c>
      <c r="N337" s="6" t="s">
        <v>451</v>
      </c>
      <c r="O337" s="20" t="s">
        <v>1043</v>
      </c>
      <c r="P337" s="20" t="s">
        <v>236</v>
      </c>
      <c r="Q337" s="22" t="s">
        <v>454</v>
      </c>
      <c r="R337" s="6" t="s">
        <v>1044</v>
      </c>
      <c r="S337" s="6" t="s">
        <v>1045</v>
      </c>
    </row>
    <row r="338" ht="45" customHeight="1" spans="1:19" x14ac:dyDescent="0.25">
      <c r="A338" s="20" t="s">
        <v>455</v>
      </c>
      <c r="B338" s="20" t="s">
        <v>455</v>
      </c>
      <c r="C338" s="6" t="s">
        <v>1053</v>
      </c>
      <c r="D338" s="6" t="s">
        <v>1054</v>
      </c>
      <c r="E338" s="20">
        <v>7.5</v>
      </c>
      <c r="F338" s="20">
        <v>12</v>
      </c>
      <c r="G338" s="20" t="s">
        <v>667</v>
      </c>
      <c r="H338" s="27">
        <v>87</v>
      </c>
      <c r="I338" s="20" t="s">
        <v>668</v>
      </c>
      <c r="J338" s="6" t="s">
        <v>1055</v>
      </c>
      <c r="K338" s="6" t="s">
        <v>1056</v>
      </c>
      <c r="L338" s="6" t="s">
        <v>458</v>
      </c>
      <c r="M338" s="6" t="s">
        <v>459</v>
      </c>
      <c r="N338" s="6" t="s">
        <v>457</v>
      </c>
      <c r="O338" s="20" t="s">
        <v>1057</v>
      </c>
      <c r="P338" s="20" t="s">
        <v>269</v>
      </c>
      <c r="Q338" s="22" t="s">
        <v>460</v>
      </c>
      <c r="R338" s="6" t="s">
        <v>1058</v>
      </c>
      <c r="S338" s="6" t="s">
        <v>1059</v>
      </c>
    </row>
    <row r="339" ht="45" customHeight="1" spans="1:19" x14ac:dyDescent="0.25">
      <c r="A339" s="20" t="s">
        <v>455</v>
      </c>
      <c r="B339" s="20" t="s">
        <v>455</v>
      </c>
      <c r="C339" s="6" t="s">
        <v>1053</v>
      </c>
      <c r="D339" s="6" t="s">
        <v>1054</v>
      </c>
      <c r="E339" s="20">
        <v>7.5</v>
      </c>
      <c r="F339" s="20">
        <v>12</v>
      </c>
      <c r="G339" s="20" t="s">
        <v>674</v>
      </c>
      <c r="H339" s="27">
        <v>428</v>
      </c>
      <c r="I339" s="20" t="s">
        <v>668</v>
      </c>
      <c r="J339" s="6" t="s">
        <v>1055</v>
      </c>
      <c r="K339" s="6" t="s">
        <v>1056</v>
      </c>
      <c r="L339" s="6" t="s">
        <v>458</v>
      </c>
      <c r="M339" s="6" t="s">
        <v>459</v>
      </c>
      <c r="N339" s="6" t="s">
        <v>457</v>
      </c>
      <c r="O339" s="20" t="s">
        <v>1057</v>
      </c>
      <c r="P339" s="20" t="s">
        <v>269</v>
      </c>
      <c r="Q339" s="22" t="s">
        <v>460</v>
      </c>
      <c r="R339" s="6" t="s">
        <v>1060</v>
      </c>
      <c r="S339" s="6" t="s">
        <v>1059</v>
      </c>
    </row>
    <row r="340" ht="45" customHeight="1" spans="1:19" x14ac:dyDescent="0.25">
      <c r="A340" s="20" t="s">
        <v>455</v>
      </c>
      <c r="B340" s="20" t="s">
        <v>455</v>
      </c>
      <c r="C340" s="6" t="s">
        <v>1053</v>
      </c>
      <c r="D340" s="6" t="s">
        <v>1054</v>
      </c>
      <c r="E340" s="20">
        <v>7.5</v>
      </c>
      <c r="F340" s="20">
        <v>12</v>
      </c>
      <c r="G340" s="20" t="s">
        <v>735</v>
      </c>
      <c r="H340" s="27">
        <v>3845</v>
      </c>
      <c r="I340" s="20" t="s">
        <v>668</v>
      </c>
      <c r="J340" s="6" t="s">
        <v>1055</v>
      </c>
      <c r="K340" s="6" t="s">
        <v>1056</v>
      </c>
      <c r="L340" s="6" t="s">
        <v>458</v>
      </c>
      <c r="M340" s="6" t="s">
        <v>459</v>
      </c>
      <c r="N340" s="6" t="s">
        <v>457</v>
      </c>
      <c r="O340" s="20" t="s">
        <v>1057</v>
      </c>
      <c r="P340" s="20" t="s">
        <v>269</v>
      </c>
      <c r="Q340" s="22" t="s">
        <v>460</v>
      </c>
      <c r="R340" s="6" t="s">
        <v>1061</v>
      </c>
      <c r="S340" s="6" t="s">
        <v>1059</v>
      </c>
    </row>
    <row r="341" ht="45" customHeight="1" spans="1:19" x14ac:dyDescent="0.25">
      <c r="A341" s="20" t="s">
        <v>455</v>
      </c>
      <c r="B341" s="20" t="s">
        <v>455</v>
      </c>
      <c r="C341" s="6" t="s">
        <v>1053</v>
      </c>
      <c r="D341" s="6" t="s">
        <v>1062</v>
      </c>
      <c r="E341" s="20">
        <v>12.1</v>
      </c>
      <c r="F341" s="20">
        <v>16</v>
      </c>
      <c r="G341" s="20" t="s">
        <v>667</v>
      </c>
      <c r="H341" s="27">
        <v>136</v>
      </c>
      <c r="I341" s="20" t="s">
        <v>668</v>
      </c>
      <c r="J341" s="6" t="s">
        <v>1055</v>
      </c>
      <c r="K341" s="6" t="s">
        <v>1056</v>
      </c>
      <c r="L341" s="6" t="s">
        <v>458</v>
      </c>
      <c r="M341" s="6" t="s">
        <v>459</v>
      </c>
      <c r="N341" s="6" t="s">
        <v>457</v>
      </c>
      <c r="O341" s="20" t="s">
        <v>1057</v>
      </c>
      <c r="P341" s="20" t="s">
        <v>269</v>
      </c>
      <c r="Q341" s="22" t="s">
        <v>460</v>
      </c>
      <c r="R341" s="6" t="s">
        <v>1063</v>
      </c>
      <c r="S341" s="6" t="s">
        <v>1059</v>
      </c>
    </row>
    <row r="342" ht="45" customHeight="1" spans="1:19" x14ac:dyDescent="0.25">
      <c r="A342" s="20" t="s">
        <v>455</v>
      </c>
      <c r="B342" s="20" t="s">
        <v>455</v>
      </c>
      <c r="C342" s="6" t="s">
        <v>1053</v>
      </c>
      <c r="D342" s="6" t="s">
        <v>1062</v>
      </c>
      <c r="E342" s="20">
        <v>12.1</v>
      </c>
      <c r="F342" s="20">
        <v>16</v>
      </c>
      <c r="G342" s="20" t="s">
        <v>674</v>
      </c>
      <c r="H342" s="27">
        <v>683</v>
      </c>
      <c r="I342" s="20" t="s">
        <v>668</v>
      </c>
      <c r="J342" s="6" t="s">
        <v>1055</v>
      </c>
      <c r="K342" s="6" t="s">
        <v>1056</v>
      </c>
      <c r="L342" s="6" t="s">
        <v>458</v>
      </c>
      <c r="M342" s="6" t="s">
        <v>459</v>
      </c>
      <c r="N342" s="6" t="s">
        <v>457</v>
      </c>
      <c r="O342" s="20" t="s">
        <v>1057</v>
      </c>
      <c r="P342" s="20" t="s">
        <v>269</v>
      </c>
      <c r="Q342" s="22" t="s">
        <v>460</v>
      </c>
      <c r="R342" s="6" t="s">
        <v>1064</v>
      </c>
      <c r="S342" s="6" t="s">
        <v>1059</v>
      </c>
    </row>
    <row r="343" ht="45" customHeight="1" spans="1:19" x14ac:dyDescent="0.25">
      <c r="A343" s="20" t="s">
        <v>455</v>
      </c>
      <c r="B343" s="20" t="s">
        <v>455</v>
      </c>
      <c r="C343" s="6" t="s">
        <v>1053</v>
      </c>
      <c r="D343" s="6" t="s">
        <v>1062</v>
      </c>
      <c r="E343" s="20">
        <v>12.1</v>
      </c>
      <c r="F343" s="20">
        <v>16</v>
      </c>
      <c r="G343" s="20" t="s">
        <v>735</v>
      </c>
      <c r="H343" s="27">
        <v>6151</v>
      </c>
      <c r="I343" s="20" t="s">
        <v>668</v>
      </c>
      <c r="J343" s="6" t="s">
        <v>1055</v>
      </c>
      <c r="K343" s="6" t="s">
        <v>1056</v>
      </c>
      <c r="L343" s="6" t="s">
        <v>458</v>
      </c>
      <c r="M343" s="6" t="s">
        <v>459</v>
      </c>
      <c r="N343" s="6" t="s">
        <v>457</v>
      </c>
      <c r="O343" s="20" t="s">
        <v>1057</v>
      </c>
      <c r="P343" s="20" t="s">
        <v>269</v>
      </c>
      <c r="Q343" s="22" t="s">
        <v>460</v>
      </c>
      <c r="R343" s="6" t="s">
        <v>1065</v>
      </c>
      <c r="S343" s="6" t="s">
        <v>1059</v>
      </c>
    </row>
    <row r="344" ht="45" customHeight="1" spans="1:19" x14ac:dyDescent="0.25">
      <c r="A344" s="20" t="s">
        <v>455</v>
      </c>
      <c r="B344" s="20" t="s">
        <v>455</v>
      </c>
      <c r="C344" s="6" t="s">
        <v>1053</v>
      </c>
      <c r="D344" s="6" t="s">
        <v>1066</v>
      </c>
      <c r="E344" s="20">
        <v>16.1</v>
      </c>
      <c r="F344" s="20">
        <v>40</v>
      </c>
      <c r="G344" s="20" t="s">
        <v>667</v>
      </c>
      <c r="H344" s="27">
        <v>171</v>
      </c>
      <c r="I344" s="20" t="s">
        <v>668</v>
      </c>
      <c r="J344" s="6" t="s">
        <v>1055</v>
      </c>
      <c r="K344" s="6" t="s">
        <v>1056</v>
      </c>
      <c r="L344" s="6" t="s">
        <v>458</v>
      </c>
      <c r="M344" s="6" t="s">
        <v>459</v>
      </c>
      <c r="N344" s="6" t="s">
        <v>457</v>
      </c>
      <c r="O344" s="20" t="s">
        <v>1057</v>
      </c>
      <c r="P344" s="20" t="s">
        <v>269</v>
      </c>
      <c r="Q344" s="22" t="s">
        <v>460</v>
      </c>
      <c r="R344" s="6" t="s">
        <v>1067</v>
      </c>
      <c r="S344" s="6" t="s">
        <v>1059</v>
      </c>
    </row>
    <row r="345" ht="45" customHeight="1" spans="1:19" x14ac:dyDescent="0.25">
      <c r="A345" s="20" t="s">
        <v>455</v>
      </c>
      <c r="B345" s="20" t="s">
        <v>455</v>
      </c>
      <c r="C345" s="6" t="s">
        <v>1053</v>
      </c>
      <c r="D345" s="6" t="s">
        <v>1066</v>
      </c>
      <c r="E345" s="20">
        <v>16.1</v>
      </c>
      <c r="F345" s="20">
        <v>40</v>
      </c>
      <c r="G345" s="20" t="s">
        <v>674</v>
      </c>
      <c r="H345" s="27">
        <v>854</v>
      </c>
      <c r="I345" s="20" t="s">
        <v>668</v>
      </c>
      <c r="J345" s="6" t="s">
        <v>1055</v>
      </c>
      <c r="K345" s="6" t="s">
        <v>1056</v>
      </c>
      <c r="L345" s="6" t="s">
        <v>458</v>
      </c>
      <c r="M345" s="6" t="s">
        <v>459</v>
      </c>
      <c r="N345" s="6" t="s">
        <v>457</v>
      </c>
      <c r="O345" s="20" t="s">
        <v>1057</v>
      </c>
      <c r="P345" s="20" t="s">
        <v>269</v>
      </c>
      <c r="Q345" s="22" t="s">
        <v>460</v>
      </c>
      <c r="R345" s="6" t="s">
        <v>1068</v>
      </c>
      <c r="S345" s="6" t="s">
        <v>1059</v>
      </c>
    </row>
    <row r="346" ht="45" customHeight="1" spans="1:19" x14ac:dyDescent="0.25">
      <c r="A346" s="20" t="s">
        <v>455</v>
      </c>
      <c r="B346" s="20" t="s">
        <v>455</v>
      </c>
      <c r="C346" s="6" t="s">
        <v>1053</v>
      </c>
      <c r="D346" s="6" t="s">
        <v>1066</v>
      </c>
      <c r="E346" s="20">
        <v>16.1</v>
      </c>
      <c r="F346" s="20">
        <v>40</v>
      </c>
      <c r="G346" s="20" t="s">
        <v>735</v>
      </c>
      <c r="H346" s="27">
        <v>7689</v>
      </c>
      <c r="I346" s="20" t="s">
        <v>668</v>
      </c>
      <c r="J346" s="6" t="s">
        <v>1055</v>
      </c>
      <c r="K346" s="6" t="s">
        <v>1056</v>
      </c>
      <c r="L346" s="6" t="s">
        <v>458</v>
      </c>
      <c r="M346" s="6" t="s">
        <v>459</v>
      </c>
      <c r="N346" s="6" t="s">
        <v>457</v>
      </c>
      <c r="O346" s="20" t="s">
        <v>1057</v>
      </c>
      <c r="P346" s="20" t="s">
        <v>269</v>
      </c>
      <c r="Q346" s="22" t="s">
        <v>460</v>
      </c>
      <c r="R346" s="6" t="s">
        <v>1069</v>
      </c>
      <c r="S346" s="6" t="s">
        <v>1059</v>
      </c>
    </row>
    <row r="347" ht="45" customHeight="1" spans="1:19" x14ac:dyDescent="0.25">
      <c r="A347" s="20" t="s">
        <v>455</v>
      </c>
      <c r="B347" s="20" t="s">
        <v>455</v>
      </c>
      <c r="C347" s="6" t="s">
        <v>1053</v>
      </c>
      <c r="D347" s="6" t="s">
        <v>1070</v>
      </c>
      <c r="E347" s="20">
        <v>40</v>
      </c>
      <c r="F347" s="20"/>
      <c r="G347" s="20" t="s">
        <v>667</v>
      </c>
      <c r="H347" s="27">
        <v>258</v>
      </c>
      <c r="I347" s="20" t="s">
        <v>668</v>
      </c>
      <c r="J347" s="6" t="s">
        <v>1055</v>
      </c>
      <c r="K347" s="6" t="s">
        <v>1056</v>
      </c>
      <c r="L347" s="6" t="s">
        <v>458</v>
      </c>
      <c r="M347" s="6" t="s">
        <v>459</v>
      </c>
      <c r="N347" s="6" t="s">
        <v>457</v>
      </c>
      <c r="O347" s="20" t="s">
        <v>1057</v>
      </c>
      <c r="P347" s="20" t="s">
        <v>269</v>
      </c>
      <c r="Q347" s="22" t="s">
        <v>460</v>
      </c>
      <c r="R347" s="6" t="s">
        <v>1071</v>
      </c>
      <c r="S347" s="6" t="s">
        <v>1059</v>
      </c>
    </row>
    <row r="348" ht="45" customHeight="1" spans="1:19" x14ac:dyDescent="0.25">
      <c r="A348" s="20" t="s">
        <v>455</v>
      </c>
      <c r="B348" s="20" t="s">
        <v>455</v>
      </c>
      <c r="C348" s="6" t="s">
        <v>1053</v>
      </c>
      <c r="D348" s="6" t="s">
        <v>1070</v>
      </c>
      <c r="E348" s="20">
        <v>40</v>
      </c>
      <c r="F348" s="20"/>
      <c r="G348" s="20" t="s">
        <v>674</v>
      </c>
      <c r="H348" s="27">
        <v>1366</v>
      </c>
      <c r="I348" s="20" t="s">
        <v>668</v>
      </c>
      <c r="J348" s="6" t="s">
        <v>1055</v>
      </c>
      <c r="K348" s="6" t="s">
        <v>1056</v>
      </c>
      <c r="L348" s="6" t="s">
        <v>458</v>
      </c>
      <c r="M348" s="6" t="s">
        <v>459</v>
      </c>
      <c r="N348" s="6" t="s">
        <v>457</v>
      </c>
      <c r="O348" s="20" t="s">
        <v>1057</v>
      </c>
      <c r="P348" s="20" t="s">
        <v>269</v>
      </c>
      <c r="Q348" s="22" t="s">
        <v>460</v>
      </c>
      <c r="R348" s="6" t="s">
        <v>1072</v>
      </c>
      <c r="S348" s="6" t="s">
        <v>1059</v>
      </c>
    </row>
    <row r="349" ht="45" customHeight="1" spans="1:19" x14ac:dyDescent="0.25">
      <c r="A349" s="20" t="s">
        <v>455</v>
      </c>
      <c r="B349" s="20" t="s">
        <v>455</v>
      </c>
      <c r="C349" s="6" t="s">
        <v>1053</v>
      </c>
      <c r="D349" s="6" t="s">
        <v>1070</v>
      </c>
      <c r="E349" s="20">
        <v>40</v>
      </c>
      <c r="F349" s="20"/>
      <c r="G349" s="20" t="s">
        <v>735</v>
      </c>
      <c r="H349" s="27">
        <v>12302</v>
      </c>
      <c r="I349" s="20" t="s">
        <v>668</v>
      </c>
      <c r="J349" s="6" t="s">
        <v>1055</v>
      </c>
      <c r="K349" s="6" t="s">
        <v>1056</v>
      </c>
      <c r="L349" s="6" t="s">
        <v>458</v>
      </c>
      <c r="M349" s="6" t="s">
        <v>459</v>
      </c>
      <c r="N349" s="6" t="s">
        <v>457</v>
      </c>
      <c r="O349" s="20" t="s">
        <v>1057</v>
      </c>
      <c r="P349" s="20" t="s">
        <v>269</v>
      </c>
      <c r="Q349" s="22" t="s">
        <v>460</v>
      </c>
      <c r="R349" s="6" t="s">
        <v>1073</v>
      </c>
      <c r="S349" s="6" t="s">
        <v>1059</v>
      </c>
    </row>
    <row r="350" ht="45" customHeight="1" spans="1:19" x14ac:dyDescent="0.25">
      <c r="A350" s="20" t="s">
        <v>455</v>
      </c>
      <c r="B350" s="20" t="s">
        <v>455</v>
      </c>
      <c r="C350" s="6" t="s">
        <v>1074</v>
      </c>
      <c r="D350" s="6" t="s">
        <v>1075</v>
      </c>
      <c r="E350" s="20">
        <v>7.5</v>
      </c>
      <c r="F350" s="20"/>
      <c r="G350" s="20" t="s">
        <v>463</v>
      </c>
      <c r="H350" s="27"/>
      <c r="I350" s="20" t="s">
        <v>668</v>
      </c>
      <c r="J350" s="6" t="s">
        <v>1055</v>
      </c>
      <c r="K350" s="6" t="s">
        <v>1056</v>
      </c>
      <c r="L350" s="6" t="s">
        <v>458</v>
      </c>
      <c r="M350" s="6" t="s">
        <v>459</v>
      </c>
      <c r="N350" s="6" t="s">
        <v>457</v>
      </c>
      <c r="O350" s="20" t="s">
        <v>1057</v>
      </c>
      <c r="P350" s="20" t="s">
        <v>297</v>
      </c>
      <c r="Q350" s="22" t="s">
        <v>460</v>
      </c>
      <c r="R350" s="6" t="s">
        <v>1076</v>
      </c>
      <c r="S350" s="6" t="s">
        <v>1077</v>
      </c>
    </row>
    <row r="351" ht="45" customHeight="1" spans="1:19" x14ac:dyDescent="0.25">
      <c r="A351" s="20" t="s">
        <v>461</v>
      </c>
      <c r="B351" s="20" t="s">
        <v>462</v>
      </c>
      <c r="C351" s="6"/>
      <c r="D351" s="6" t="s">
        <v>1078</v>
      </c>
      <c r="E351" s="20">
        <v>7.5</v>
      </c>
      <c r="F351" s="20"/>
      <c r="G351" s="20" t="s">
        <v>463</v>
      </c>
      <c r="H351" s="27"/>
      <c r="I351" s="20" t="s">
        <v>668</v>
      </c>
      <c r="J351" s="6"/>
      <c r="K351" s="6"/>
      <c r="L351" s="6" t="s">
        <v>464</v>
      </c>
      <c r="M351" s="6" t="s">
        <v>465</v>
      </c>
      <c r="N351" s="6" t="s">
        <v>463</v>
      </c>
      <c r="O351" s="20" t="s">
        <v>787</v>
      </c>
      <c r="P351" s="20" t="s">
        <v>297</v>
      </c>
      <c r="Q351" s="22" t="s">
        <v>467</v>
      </c>
      <c r="R351" s="6" t="s">
        <v>1079</v>
      </c>
      <c r="S351" s="6" t="s">
        <v>463</v>
      </c>
    </row>
    <row r="352" ht="45" customHeight="1" spans="1:19" x14ac:dyDescent="0.25">
      <c r="A352" s="20" t="s">
        <v>468</v>
      </c>
      <c r="B352" s="20" t="s">
        <v>469</v>
      </c>
      <c r="C352" s="6" t="s">
        <v>1080</v>
      </c>
      <c r="D352" s="6" t="s">
        <v>1081</v>
      </c>
      <c r="E352" s="20">
        <v>7.5</v>
      </c>
      <c r="F352" s="20"/>
      <c r="G352" s="20" t="s">
        <v>716</v>
      </c>
      <c r="H352" s="27"/>
      <c r="I352" s="20"/>
      <c r="J352" s="6" t="s">
        <v>1082</v>
      </c>
      <c r="K352" s="6" t="s">
        <v>1083</v>
      </c>
      <c r="L352" s="6" t="s">
        <v>472</v>
      </c>
      <c r="M352" s="6" t="s">
        <v>473</v>
      </c>
      <c r="N352" s="6" t="s">
        <v>471</v>
      </c>
      <c r="O352" s="20" t="s">
        <v>1084</v>
      </c>
      <c r="P352" s="20" t="s">
        <v>269</v>
      </c>
      <c r="Q352" s="22" t="s">
        <v>475</v>
      </c>
      <c r="R352" s="6" t="s">
        <v>1085</v>
      </c>
      <c r="S352" s="6" t="s">
        <v>1086</v>
      </c>
    </row>
    <row r="353" ht="45" customHeight="1" spans="1:19" x14ac:dyDescent="0.25">
      <c r="A353" s="20" t="s">
        <v>468</v>
      </c>
      <c r="B353" s="20" t="s">
        <v>469</v>
      </c>
      <c r="C353" s="6" t="s">
        <v>1087</v>
      </c>
      <c r="D353" s="6" t="s">
        <v>1088</v>
      </c>
      <c r="E353" s="20">
        <v>3.5</v>
      </c>
      <c r="F353" s="20"/>
      <c r="G353" s="20" t="s">
        <v>716</v>
      </c>
      <c r="H353" s="27"/>
      <c r="I353" s="20"/>
      <c r="J353" s="6" t="s">
        <v>1089</v>
      </c>
      <c r="K353" s="6" t="s">
        <v>1090</v>
      </c>
      <c r="L353" s="6" t="s">
        <v>472</v>
      </c>
      <c r="M353" s="6" t="s">
        <v>473</v>
      </c>
      <c r="N353" s="6" t="s">
        <v>471</v>
      </c>
      <c r="O353" s="20" t="s">
        <v>791</v>
      </c>
      <c r="P353" s="20" t="s">
        <v>236</v>
      </c>
      <c r="Q353" s="22" t="s">
        <v>1091</v>
      </c>
      <c r="R353" s="6" t="s">
        <v>1092</v>
      </c>
      <c r="S353" s="6" t="s">
        <v>1093</v>
      </c>
    </row>
    <row r="354" ht="45" customHeight="1" spans="1:19" x14ac:dyDescent="0.25">
      <c r="A354" s="20" t="s">
        <v>468</v>
      </c>
      <c r="B354" s="20" t="s">
        <v>469</v>
      </c>
      <c r="C354" s="6" t="s">
        <v>1087</v>
      </c>
      <c r="D354" s="6" t="s">
        <v>1094</v>
      </c>
      <c r="E354" s="20">
        <v>35</v>
      </c>
      <c r="F354" s="20"/>
      <c r="G354" s="20" t="s">
        <v>667</v>
      </c>
      <c r="H354" s="27"/>
      <c r="I354" s="20" t="s">
        <v>668</v>
      </c>
      <c r="J354" s="6" t="s">
        <v>1095</v>
      </c>
      <c r="K354" s="6" t="s">
        <v>1096</v>
      </c>
      <c r="L354" s="6" t="s">
        <v>472</v>
      </c>
      <c r="M354" s="6" t="s">
        <v>473</v>
      </c>
      <c r="N354" s="6" t="s">
        <v>471</v>
      </c>
      <c r="O354" s="20" t="s">
        <v>1097</v>
      </c>
      <c r="P354" s="20" t="s">
        <v>269</v>
      </c>
      <c r="Q354" s="22" t="s">
        <v>1098</v>
      </c>
      <c r="R354" s="6" t="s">
        <v>1099</v>
      </c>
      <c r="S354" s="6" t="s">
        <v>1093</v>
      </c>
    </row>
    <row r="355" ht="45" customHeight="1" spans="1:19" x14ac:dyDescent="0.25">
      <c r="A355" s="20" t="s">
        <v>468</v>
      </c>
      <c r="B355" s="20" t="s">
        <v>469</v>
      </c>
      <c r="C355" s="6" t="s">
        <v>1100</v>
      </c>
      <c r="D355" s="6" t="s">
        <v>1101</v>
      </c>
      <c r="E355" s="20">
        <v>7.5</v>
      </c>
      <c r="F355" s="20"/>
      <c r="G355" s="20" t="s">
        <v>667</v>
      </c>
      <c r="H355" s="27">
        <v>14</v>
      </c>
      <c r="I355" s="20" t="s">
        <v>668</v>
      </c>
      <c r="J355" s="6" t="s">
        <v>1102</v>
      </c>
      <c r="K355" s="6" t="s">
        <v>1103</v>
      </c>
      <c r="L355" s="6" t="s">
        <v>472</v>
      </c>
      <c r="M355" s="6" t="s">
        <v>473</v>
      </c>
      <c r="N355" s="6" t="s">
        <v>471</v>
      </c>
      <c r="O355" s="20" t="s">
        <v>1104</v>
      </c>
      <c r="P355" s="20" t="s">
        <v>269</v>
      </c>
      <c r="Q355" s="22" t="s">
        <v>1105</v>
      </c>
      <c r="R355" s="6" t="s">
        <v>1106</v>
      </c>
      <c r="S355" s="6" t="s">
        <v>1107</v>
      </c>
    </row>
    <row r="356" ht="45" customHeight="1" spans="1:19" x14ac:dyDescent="0.25">
      <c r="A356" s="20" t="s">
        <v>468</v>
      </c>
      <c r="B356" s="20" t="s">
        <v>469</v>
      </c>
      <c r="C356" s="6" t="s">
        <v>1100</v>
      </c>
      <c r="D356" s="6" t="s">
        <v>1094</v>
      </c>
      <c r="E356" s="20">
        <v>35</v>
      </c>
      <c r="F356" s="20"/>
      <c r="G356" s="20" t="s">
        <v>667</v>
      </c>
      <c r="H356" s="27">
        <v>28</v>
      </c>
      <c r="I356" s="20" t="s">
        <v>668</v>
      </c>
      <c r="J356" s="6" t="s">
        <v>1108</v>
      </c>
      <c r="K356" s="6" t="s">
        <v>1109</v>
      </c>
      <c r="L356" s="6" t="s">
        <v>472</v>
      </c>
      <c r="M356" s="6" t="s">
        <v>473</v>
      </c>
      <c r="N356" s="6" t="s">
        <v>471</v>
      </c>
      <c r="O356" s="20" t="s">
        <v>1104</v>
      </c>
      <c r="P356" s="20" t="s">
        <v>269</v>
      </c>
      <c r="Q356" s="22" t="s">
        <v>1105</v>
      </c>
      <c r="R356" s="6" t="s">
        <v>1110</v>
      </c>
      <c r="S356" s="6" t="s">
        <v>1107</v>
      </c>
    </row>
    <row r="357" ht="45" customHeight="1" spans="1:19" x14ac:dyDescent="0.25">
      <c r="A357" s="20" t="s">
        <v>468</v>
      </c>
      <c r="B357" s="20" t="s">
        <v>469</v>
      </c>
      <c r="C357" s="6" t="s">
        <v>1100</v>
      </c>
      <c r="D357" s="6" t="s">
        <v>1111</v>
      </c>
      <c r="E357" s="20">
        <v>7.5</v>
      </c>
      <c r="F357" s="20">
        <v>15</v>
      </c>
      <c r="G357" s="20" t="s">
        <v>674</v>
      </c>
      <c r="H357" s="27">
        <v>140</v>
      </c>
      <c r="I357" s="20" t="s">
        <v>668</v>
      </c>
      <c r="J357" s="6"/>
      <c r="K357" s="6" t="s">
        <v>1112</v>
      </c>
      <c r="L357" s="6" t="s">
        <v>1113</v>
      </c>
      <c r="M357" s="6" t="s">
        <v>473</v>
      </c>
      <c r="N357" s="6" t="s">
        <v>1114</v>
      </c>
      <c r="O357" s="20" t="s">
        <v>1115</v>
      </c>
      <c r="P357" s="20" t="s">
        <v>269</v>
      </c>
      <c r="Q357" s="22" t="s">
        <v>1116</v>
      </c>
      <c r="R357" s="6" t="s">
        <v>1117</v>
      </c>
      <c r="S357" s="6" t="s">
        <v>1107</v>
      </c>
    </row>
    <row r="358" ht="45" customHeight="1" spans="1:19" x14ac:dyDescent="0.25">
      <c r="A358" s="20" t="s">
        <v>468</v>
      </c>
      <c r="B358" s="20" t="s">
        <v>469</v>
      </c>
      <c r="C358" s="6" t="s">
        <v>1100</v>
      </c>
      <c r="D358" s="6" t="s">
        <v>1094</v>
      </c>
      <c r="E358" s="20">
        <v>35</v>
      </c>
      <c r="F358" s="20"/>
      <c r="G358" s="20" t="s">
        <v>674</v>
      </c>
      <c r="H358" s="27">
        <v>280</v>
      </c>
      <c r="I358" s="20" t="s">
        <v>668</v>
      </c>
      <c r="J358" s="6"/>
      <c r="K358" s="6" t="s">
        <v>1112</v>
      </c>
      <c r="L358" s="6" t="s">
        <v>1113</v>
      </c>
      <c r="M358" s="6" t="s">
        <v>473</v>
      </c>
      <c r="N358" s="6" t="s">
        <v>1114</v>
      </c>
      <c r="O358" s="20" t="s">
        <v>1115</v>
      </c>
      <c r="P358" s="20" t="s">
        <v>269</v>
      </c>
      <c r="Q358" s="22" t="s">
        <v>1116</v>
      </c>
      <c r="R358" s="6" t="s">
        <v>1117</v>
      </c>
      <c r="S358" s="6" t="s">
        <v>1107</v>
      </c>
    </row>
    <row r="359" ht="45" customHeight="1" spans="1:19" x14ac:dyDescent="0.25">
      <c r="A359" s="20" t="s">
        <v>468</v>
      </c>
      <c r="B359" s="20" t="s">
        <v>469</v>
      </c>
      <c r="C359" s="6" t="s">
        <v>1100</v>
      </c>
      <c r="D359" s="6" t="s">
        <v>1118</v>
      </c>
      <c r="E359" s="20">
        <v>7.5</v>
      </c>
      <c r="F359" s="20">
        <v>15</v>
      </c>
      <c r="G359" s="20" t="s">
        <v>735</v>
      </c>
      <c r="H359" s="27">
        <v>700</v>
      </c>
      <c r="I359" s="20" t="s">
        <v>668</v>
      </c>
      <c r="J359" s="6"/>
      <c r="K359" s="6" t="s">
        <v>1119</v>
      </c>
      <c r="L359" s="6" t="s">
        <v>1113</v>
      </c>
      <c r="M359" s="6" t="s">
        <v>473</v>
      </c>
      <c r="N359" s="6" t="s">
        <v>1114</v>
      </c>
      <c r="O359" s="20" t="s">
        <v>1115</v>
      </c>
      <c r="P359" s="20" t="s">
        <v>269</v>
      </c>
      <c r="Q359" s="22" t="s">
        <v>1116</v>
      </c>
      <c r="R359" s="6" t="s">
        <v>1117</v>
      </c>
      <c r="S359" s="6" t="s">
        <v>1107</v>
      </c>
    </row>
    <row r="360" ht="45" customHeight="1" spans="1:19" x14ac:dyDescent="0.25">
      <c r="A360" s="20" t="s">
        <v>468</v>
      </c>
      <c r="B360" s="20" t="s">
        <v>469</v>
      </c>
      <c r="C360" s="6" t="s">
        <v>1100</v>
      </c>
      <c r="D360" s="6" t="s">
        <v>1094</v>
      </c>
      <c r="E360" s="20">
        <v>35</v>
      </c>
      <c r="F360" s="20"/>
      <c r="G360" s="20" t="s">
        <v>735</v>
      </c>
      <c r="H360" s="27">
        <v>1200</v>
      </c>
      <c r="I360" s="20" t="s">
        <v>668</v>
      </c>
      <c r="J360" s="6"/>
      <c r="K360" s="6" t="s">
        <v>1119</v>
      </c>
      <c r="L360" s="6" t="s">
        <v>1113</v>
      </c>
      <c r="M360" s="6" t="s">
        <v>473</v>
      </c>
      <c r="N360" s="6" t="s">
        <v>1114</v>
      </c>
      <c r="O360" s="20" t="s">
        <v>1115</v>
      </c>
      <c r="P360" s="20" t="s">
        <v>269</v>
      </c>
      <c r="Q360" s="22" t="s">
        <v>1116</v>
      </c>
      <c r="R360" s="6" t="s">
        <v>1117</v>
      </c>
      <c r="S360" s="6" t="s">
        <v>1107</v>
      </c>
    </row>
    <row r="361" ht="45" customHeight="1" spans="1:19" x14ac:dyDescent="0.25">
      <c r="A361" s="20" t="s">
        <v>476</v>
      </c>
      <c r="B361" s="20" t="s">
        <v>476</v>
      </c>
      <c r="C361" s="6" t="s">
        <v>1120</v>
      </c>
      <c r="D361" s="6" t="s">
        <v>1121</v>
      </c>
      <c r="E361" s="20">
        <v>3.5</v>
      </c>
      <c r="F361" s="20"/>
      <c r="G361" s="20" t="s">
        <v>674</v>
      </c>
      <c r="H361" s="27"/>
      <c r="I361" s="20" t="s">
        <v>668</v>
      </c>
      <c r="J361" s="6"/>
      <c r="K361" s="6" t="s">
        <v>1122</v>
      </c>
      <c r="L361" s="6" t="s">
        <v>478</v>
      </c>
      <c r="M361" s="6" t="s">
        <v>479</v>
      </c>
      <c r="N361" s="6" t="s">
        <v>477</v>
      </c>
      <c r="O361" s="20" t="s">
        <v>791</v>
      </c>
      <c r="P361" s="20" t="s">
        <v>269</v>
      </c>
      <c r="Q361" s="22" t="s">
        <v>481</v>
      </c>
      <c r="R361" s="6" t="s">
        <v>1123</v>
      </c>
      <c r="S361" s="6" t="s">
        <v>412</v>
      </c>
    </row>
    <row r="362" ht="45" customHeight="1" spans="1:19" x14ac:dyDescent="0.25">
      <c r="A362" s="20" t="s">
        <v>482</v>
      </c>
      <c r="B362" s="20" t="s">
        <v>483</v>
      </c>
      <c r="C362" s="6" t="s">
        <v>1124</v>
      </c>
      <c r="D362" s="6" t="s">
        <v>1125</v>
      </c>
      <c r="E362" s="20">
        <v>3.5</v>
      </c>
      <c r="F362" s="20">
        <v>7.5</v>
      </c>
      <c r="G362" s="20" t="s">
        <v>667</v>
      </c>
      <c r="H362" s="27">
        <v>20</v>
      </c>
      <c r="I362" s="20" t="s">
        <v>668</v>
      </c>
      <c r="J362" s="6"/>
      <c r="K362" s="6" t="s">
        <v>1126</v>
      </c>
      <c r="L362" s="6" t="s">
        <v>486</v>
      </c>
      <c r="M362" s="6" t="s">
        <v>487</v>
      </c>
      <c r="N362" s="6" t="s">
        <v>485</v>
      </c>
      <c r="O362" s="20" t="s">
        <v>1127</v>
      </c>
      <c r="P362" s="20" t="s">
        <v>236</v>
      </c>
      <c r="Q362" s="22" t="s">
        <v>489</v>
      </c>
      <c r="R362" s="6" t="s">
        <v>1128</v>
      </c>
      <c r="S362" s="6" t="s">
        <v>1129</v>
      </c>
    </row>
    <row r="363" ht="45" customHeight="1" spans="1:19" x14ac:dyDescent="0.25">
      <c r="A363" s="20" t="s">
        <v>482</v>
      </c>
      <c r="B363" s="20" t="s">
        <v>483</v>
      </c>
      <c r="C363" s="6" t="s">
        <v>1124</v>
      </c>
      <c r="D363" s="6" t="s">
        <v>1125</v>
      </c>
      <c r="E363" s="20">
        <v>3.5</v>
      </c>
      <c r="F363" s="20">
        <v>7.5</v>
      </c>
      <c r="G363" s="20" t="s">
        <v>674</v>
      </c>
      <c r="H363" s="27">
        <v>100</v>
      </c>
      <c r="I363" s="20" t="s">
        <v>668</v>
      </c>
      <c r="J363" s="6"/>
      <c r="K363" s="6" t="s">
        <v>1126</v>
      </c>
      <c r="L363" s="6" t="s">
        <v>486</v>
      </c>
      <c r="M363" s="6" t="s">
        <v>487</v>
      </c>
      <c r="N363" s="6" t="s">
        <v>485</v>
      </c>
      <c r="O363" s="20" t="s">
        <v>1127</v>
      </c>
      <c r="P363" s="20" t="s">
        <v>236</v>
      </c>
      <c r="Q363" s="22" t="s">
        <v>489</v>
      </c>
      <c r="R363" s="6" t="s">
        <v>1128</v>
      </c>
      <c r="S363" s="6" t="s">
        <v>1129</v>
      </c>
    </row>
    <row r="364" ht="45" customHeight="1" spans="1:19" x14ac:dyDescent="0.25">
      <c r="A364" s="20" t="s">
        <v>482</v>
      </c>
      <c r="B364" s="20" t="s">
        <v>483</v>
      </c>
      <c r="C364" s="6" t="s">
        <v>1124</v>
      </c>
      <c r="D364" s="6" t="s">
        <v>1130</v>
      </c>
      <c r="E364" s="20">
        <v>7.51</v>
      </c>
      <c r="F364" s="20">
        <v>16</v>
      </c>
      <c r="G364" s="20" t="s">
        <v>667</v>
      </c>
      <c r="H364" s="27">
        <v>50</v>
      </c>
      <c r="I364" s="20" t="s">
        <v>668</v>
      </c>
      <c r="J364" s="6"/>
      <c r="K364" s="6" t="s">
        <v>1126</v>
      </c>
      <c r="L364" s="6" t="s">
        <v>486</v>
      </c>
      <c r="M364" s="6" t="s">
        <v>487</v>
      </c>
      <c r="N364" s="6" t="s">
        <v>485</v>
      </c>
      <c r="O364" s="20" t="s">
        <v>1127</v>
      </c>
      <c r="P364" s="20" t="s">
        <v>236</v>
      </c>
      <c r="Q364" s="22" t="s">
        <v>489</v>
      </c>
      <c r="R364" s="6" t="s">
        <v>1128</v>
      </c>
      <c r="S364" s="6" t="s">
        <v>1129</v>
      </c>
    </row>
    <row r="365" ht="45" customHeight="1" spans="1:19" x14ac:dyDescent="0.25">
      <c r="A365" s="20" t="s">
        <v>482</v>
      </c>
      <c r="B365" s="20" t="s">
        <v>483</v>
      </c>
      <c r="C365" s="6" t="s">
        <v>1124</v>
      </c>
      <c r="D365" s="6" t="s">
        <v>1130</v>
      </c>
      <c r="E365" s="20">
        <v>7.51</v>
      </c>
      <c r="F365" s="20">
        <v>16</v>
      </c>
      <c r="G365" s="20" t="s">
        <v>674</v>
      </c>
      <c r="H365" s="27">
        <v>200</v>
      </c>
      <c r="I365" s="20" t="s">
        <v>668</v>
      </c>
      <c r="J365" s="6"/>
      <c r="K365" s="6" t="s">
        <v>1126</v>
      </c>
      <c r="L365" s="6" t="s">
        <v>486</v>
      </c>
      <c r="M365" s="6" t="s">
        <v>487</v>
      </c>
      <c r="N365" s="6" t="s">
        <v>485</v>
      </c>
      <c r="O365" s="20" t="s">
        <v>1127</v>
      </c>
      <c r="P365" s="20" t="s">
        <v>236</v>
      </c>
      <c r="Q365" s="22" t="s">
        <v>489</v>
      </c>
      <c r="R365" s="6" t="s">
        <v>1128</v>
      </c>
      <c r="S365" s="6" t="s">
        <v>1129</v>
      </c>
    </row>
    <row r="366" ht="45" customHeight="1" spans="1:19" x14ac:dyDescent="0.25">
      <c r="A366" s="20" t="s">
        <v>482</v>
      </c>
      <c r="B366" s="20" t="s">
        <v>483</v>
      </c>
      <c r="C366" s="6" t="s">
        <v>1124</v>
      </c>
      <c r="D366" s="6" t="s">
        <v>1131</v>
      </c>
      <c r="E366" s="20">
        <v>16.01</v>
      </c>
      <c r="F366" s="20"/>
      <c r="G366" s="20" t="s">
        <v>667</v>
      </c>
      <c r="H366" s="27">
        <v>60</v>
      </c>
      <c r="I366" s="20" t="s">
        <v>668</v>
      </c>
      <c r="J366" s="6"/>
      <c r="K366" s="6" t="s">
        <v>1126</v>
      </c>
      <c r="L366" s="6" t="s">
        <v>486</v>
      </c>
      <c r="M366" s="6" t="s">
        <v>487</v>
      </c>
      <c r="N366" s="6" t="s">
        <v>485</v>
      </c>
      <c r="O366" s="20" t="s">
        <v>1127</v>
      </c>
      <c r="P366" s="20" t="s">
        <v>236</v>
      </c>
      <c r="Q366" s="22" t="s">
        <v>489</v>
      </c>
      <c r="R366" s="6" t="s">
        <v>1128</v>
      </c>
      <c r="S366" s="6" t="s">
        <v>1129</v>
      </c>
    </row>
    <row r="367" ht="45" customHeight="1" spans="1:19" x14ac:dyDescent="0.25">
      <c r="A367" s="20" t="s">
        <v>482</v>
      </c>
      <c r="B367" s="20" t="s">
        <v>483</v>
      </c>
      <c r="C367" s="6" t="s">
        <v>1124</v>
      </c>
      <c r="D367" s="6" t="s">
        <v>1131</v>
      </c>
      <c r="E367" s="20">
        <v>16.01</v>
      </c>
      <c r="F367" s="20"/>
      <c r="G367" s="20" t="s">
        <v>674</v>
      </c>
      <c r="H367" s="27">
        <v>250</v>
      </c>
      <c r="I367" s="20" t="s">
        <v>668</v>
      </c>
      <c r="J367" s="6"/>
      <c r="K367" s="6" t="s">
        <v>1126</v>
      </c>
      <c r="L367" s="6" t="s">
        <v>486</v>
      </c>
      <c r="M367" s="6" t="s">
        <v>487</v>
      </c>
      <c r="N367" s="6" t="s">
        <v>485</v>
      </c>
      <c r="O367" s="20" t="s">
        <v>1127</v>
      </c>
      <c r="P367" s="20" t="s">
        <v>236</v>
      </c>
      <c r="Q367" s="22" t="s">
        <v>489</v>
      </c>
      <c r="R367" s="6" t="s">
        <v>1128</v>
      </c>
      <c r="S367" s="6" t="s">
        <v>1129</v>
      </c>
    </row>
    <row r="368" ht="45" customHeight="1" spans="1:19" x14ac:dyDescent="0.25">
      <c r="A368" s="20" t="s">
        <v>482</v>
      </c>
      <c r="B368" s="20" t="s">
        <v>483</v>
      </c>
      <c r="C368" s="6" t="s">
        <v>1124</v>
      </c>
      <c r="D368" s="6" t="s">
        <v>1132</v>
      </c>
      <c r="E368" s="20">
        <v>3.5</v>
      </c>
      <c r="F368" s="20">
        <v>7.5</v>
      </c>
      <c r="G368" s="20" t="s">
        <v>674</v>
      </c>
      <c r="H368" s="27">
        <v>100</v>
      </c>
      <c r="I368" s="20" t="s">
        <v>668</v>
      </c>
      <c r="J368" s="6"/>
      <c r="K368" s="6" t="s">
        <v>1133</v>
      </c>
      <c r="L368" s="6" t="s">
        <v>486</v>
      </c>
      <c r="M368" s="6" t="s">
        <v>487</v>
      </c>
      <c r="N368" s="6" t="s">
        <v>485</v>
      </c>
      <c r="O368" s="20" t="s">
        <v>1127</v>
      </c>
      <c r="P368" s="20" t="s">
        <v>236</v>
      </c>
      <c r="Q368" s="22" t="s">
        <v>489</v>
      </c>
      <c r="R368" s="6" t="s">
        <v>1134</v>
      </c>
      <c r="S368" s="6" t="s">
        <v>1129</v>
      </c>
    </row>
    <row r="369" ht="45" customHeight="1" spans="1:19" x14ac:dyDescent="0.25">
      <c r="A369" s="20" t="s">
        <v>482</v>
      </c>
      <c r="B369" s="20" t="s">
        <v>483</v>
      </c>
      <c r="C369" s="6" t="s">
        <v>1124</v>
      </c>
      <c r="D369" s="6" t="s">
        <v>1132</v>
      </c>
      <c r="E369" s="20">
        <v>3.5</v>
      </c>
      <c r="F369" s="20">
        <v>7.5</v>
      </c>
      <c r="G369" s="20" t="s">
        <v>785</v>
      </c>
      <c r="H369" s="27">
        <v>200</v>
      </c>
      <c r="I369" s="20" t="s">
        <v>668</v>
      </c>
      <c r="J369" s="6"/>
      <c r="K369" s="6" t="s">
        <v>1135</v>
      </c>
      <c r="L369" s="6" t="s">
        <v>486</v>
      </c>
      <c r="M369" s="6" t="s">
        <v>487</v>
      </c>
      <c r="N369" s="6" t="s">
        <v>485</v>
      </c>
      <c r="O369" s="20" t="s">
        <v>1127</v>
      </c>
      <c r="P369" s="20" t="s">
        <v>236</v>
      </c>
      <c r="Q369" s="22" t="s">
        <v>489</v>
      </c>
      <c r="R369" s="6" t="s">
        <v>1134</v>
      </c>
      <c r="S369" s="6" t="s">
        <v>1129</v>
      </c>
    </row>
    <row r="370" ht="45" customHeight="1" spans="1:19" x14ac:dyDescent="0.25">
      <c r="A370" s="20" t="s">
        <v>482</v>
      </c>
      <c r="B370" s="20" t="s">
        <v>483</v>
      </c>
      <c r="C370" s="6" t="s">
        <v>1124</v>
      </c>
      <c r="D370" s="6" t="s">
        <v>1136</v>
      </c>
      <c r="E370" s="20">
        <v>7.51</v>
      </c>
      <c r="F370" s="20">
        <v>16</v>
      </c>
      <c r="G370" s="20" t="s">
        <v>674</v>
      </c>
      <c r="H370" s="27">
        <v>150</v>
      </c>
      <c r="I370" s="20" t="s">
        <v>668</v>
      </c>
      <c r="J370" s="6"/>
      <c r="K370" s="6" t="s">
        <v>1133</v>
      </c>
      <c r="L370" s="6" t="s">
        <v>486</v>
      </c>
      <c r="M370" s="6" t="s">
        <v>487</v>
      </c>
      <c r="N370" s="6" t="s">
        <v>485</v>
      </c>
      <c r="O370" s="20" t="s">
        <v>1127</v>
      </c>
      <c r="P370" s="20" t="s">
        <v>236</v>
      </c>
      <c r="Q370" s="22" t="s">
        <v>489</v>
      </c>
      <c r="R370" s="6" t="s">
        <v>1134</v>
      </c>
      <c r="S370" s="6" t="s">
        <v>1129</v>
      </c>
    </row>
    <row r="371" ht="45" customHeight="1" spans="1:19" x14ac:dyDescent="0.25">
      <c r="A371" s="20" t="s">
        <v>482</v>
      </c>
      <c r="B371" s="20" t="s">
        <v>483</v>
      </c>
      <c r="C371" s="6" t="s">
        <v>1124</v>
      </c>
      <c r="D371" s="6" t="s">
        <v>1136</v>
      </c>
      <c r="E371" s="20">
        <v>7.51</v>
      </c>
      <c r="F371" s="20">
        <v>16</v>
      </c>
      <c r="G371" s="20" t="s">
        <v>785</v>
      </c>
      <c r="H371" s="27">
        <v>300</v>
      </c>
      <c r="I371" s="20" t="s">
        <v>668</v>
      </c>
      <c r="J371" s="6"/>
      <c r="K371" s="6" t="s">
        <v>1135</v>
      </c>
      <c r="L371" s="6" t="s">
        <v>486</v>
      </c>
      <c r="M371" s="6" t="s">
        <v>487</v>
      </c>
      <c r="N371" s="6" t="s">
        <v>485</v>
      </c>
      <c r="O371" s="20" t="s">
        <v>1127</v>
      </c>
      <c r="P371" s="20" t="s">
        <v>236</v>
      </c>
      <c r="Q371" s="22" t="s">
        <v>489</v>
      </c>
      <c r="R371" s="6" t="s">
        <v>1134</v>
      </c>
      <c r="S371" s="6" t="s">
        <v>1129</v>
      </c>
    </row>
    <row r="372" ht="45" customHeight="1" spans="1:19" x14ac:dyDescent="0.25">
      <c r="A372" s="20" t="s">
        <v>482</v>
      </c>
      <c r="B372" s="20" t="s">
        <v>483</v>
      </c>
      <c r="C372" s="6" t="s">
        <v>1124</v>
      </c>
      <c r="D372" s="6" t="s">
        <v>1137</v>
      </c>
      <c r="E372" s="20">
        <v>16.01</v>
      </c>
      <c r="F372" s="20"/>
      <c r="G372" s="20" t="s">
        <v>674</v>
      </c>
      <c r="H372" s="27">
        <v>250</v>
      </c>
      <c r="I372" s="20" t="s">
        <v>668</v>
      </c>
      <c r="J372" s="6"/>
      <c r="K372" s="6" t="s">
        <v>1133</v>
      </c>
      <c r="L372" s="6" t="s">
        <v>486</v>
      </c>
      <c r="M372" s="6" t="s">
        <v>487</v>
      </c>
      <c r="N372" s="6" t="s">
        <v>485</v>
      </c>
      <c r="O372" s="20" t="s">
        <v>1127</v>
      </c>
      <c r="P372" s="20" t="s">
        <v>236</v>
      </c>
      <c r="Q372" s="22" t="s">
        <v>489</v>
      </c>
      <c r="R372" s="6" t="s">
        <v>1134</v>
      </c>
      <c r="S372" s="6" t="s">
        <v>1129</v>
      </c>
    </row>
    <row r="373" ht="45" customHeight="1" spans="1:19" x14ac:dyDescent="0.25">
      <c r="A373" s="20" t="s">
        <v>482</v>
      </c>
      <c r="B373" s="20" t="s">
        <v>483</v>
      </c>
      <c r="C373" s="6" t="s">
        <v>1124</v>
      </c>
      <c r="D373" s="6" t="s">
        <v>1137</v>
      </c>
      <c r="E373" s="20">
        <v>16.01</v>
      </c>
      <c r="F373" s="20"/>
      <c r="G373" s="20" t="s">
        <v>785</v>
      </c>
      <c r="H373" s="27">
        <v>500</v>
      </c>
      <c r="I373" s="20" t="s">
        <v>668</v>
      </c>
      <c r="J373" s="6"/>
      <c r="K373" s="6" t="s">
        <v>1135</v>
      </c>
      <c r="L373" s="6" t="s">
        <v>486</v>
      </c>
      <c r="M373" s="6" t="s">
        <v>487</v>
      </c>
      <c r="N373" s="6" t="s">
        <v>485</v>
      </c>
      <c r="O373" s="20" t="s">
        <v>1127</v>
      </c>
      <c r="P373" s="20" t="s">
        <v>236</v>
      </c>
      <c r="Q373" s="22" t="s">
        <v>489</v>
      </c>
      <c r="R373" s="6" t="s">
        <v>1134</v>
      </c>
      <c r="S373" s="6" t="s">
        <v>1129</v>
      </c>
    </row>
    <row r="374" ht="45" customHeight="1" spans="1:19" x14ac:dyDescent="0.25">
      <c r="A374" s="20" t="s">
        <v>482</v>
      </c>
      <c r="B374" s="20" t="s">
        <v>483</v>
      </c>
      <c r="C374" s="6" t="s">
        <v>1138</v>
      </c>
      <c r="D374" s="6" t="s">
        <v>1139</v>
      </c>
      <c r="E374" s="20"/>
      <c r="F374" s="20"/>
      <c r="G374" s="20" t="s">
        <v>706</v>
      </c>
      <c r="H374" s="27"/>
      <c r="I374" s="20" t="s">
        <v>668</v>
      </c>
      <c r="J374" s="6"/>
      <c r="K374" s="6" t="s">
        <v>1140</v>
      </c>
      <c r="L374" s="6" t="s">
        <v>486</v>
      </c>
      <c r="M374" s="6" t="s">
        <v>487</v>
      </c>
      <c r="N374" s="6" t="s">
        <v>485</v>
      </c>
      <c r="O374" s="20" t="s">
        <v>1127</v>
      </c>
      <c r="P374" s="20" t="s">
        <v>236</v>
      </c>
      <c r="Q374" s="22" t="s">
        <v>489</v>
      </c>
      <c r="R374" s="6"/>
      <c r="S374" s="6" t="s">
        <v>1141</v>
      </c>
    </row>
    <row r="375" ht="45" customHeight="1" spans="1:19" x14ac:dyDescent="0.25">
      <c r="A375" s="20" t="s">
        <v>482</v>
      </c>
      <c r="B375" s="20" t="s">
        <v>483</v>
      </c>
      <c r="C375" s="6" t="s">
        <v>1142</v>
      </c>
      <c r="D375" s="6" t="s">
        <v>1143</v>
      </c>
      <c r="E375" s="20">
        <v>3.5</v>
      </c>
      <c r="F375" s="20">
        <v>7.5</v>
      </c>
      <c r="G375" s="20" t="s">
        <v>706</v>
      </c>
      <c r="H375" s="27"/>
      <c r="I375" s="20" t="s">
        <v>668</v>
      </c>
      <c r="J375" s="6"/>
      <c r="K375" s="6" t="s">
        <v>1144</v>
      </c>
      <c r="L375" s="6" t="s">
        <v>486</v>
      </c>
      <c r="M375" s="6" t="s">
        <v>487</v>
      </c>
      <c r="N375" s="6" t="s">
        <v>485</v>
      </c>
      <c r="O375" s="20" t="s">
        <v>1127</v>
      </c>
      <c r="P375" s="20" t="s">
        <v>236</v>
      </c>
      <c r="Q375" s="22" t="s">
        <v>489</v>
      </c>
      <c r="R375" s="6"/>
      <c r="S375" s="6" t="s">
        <v>1145</v>
      </c>
    </row>
    <row r="376" ht="45" customHeight="1" spans="1:19" x14ac:dyDescent="0.25">
      <c r="A376" s="20" t="s">
        <v>490</v>
      </c>
      <c r="B376" s="20" t="s">
        <v>490</v>
      </c>
      <c r="C376" s="6"/>
      <c r="D376" s="6"/>
      <c r="E376" s="20"/>
      <c r="F376" s="20"/>
      <c r="G376" s="20" t="s">
        <v>463</v>
      </c>
      <c r="H376" s="27"/>
      <c r="I376" s="20" t="s">
        <v>668</v>
      </c>
      <c r="J376" s="6"/>
      <c r="K376" s="6"/>
      <c r="L376" s="6"/>
      <c r="M376" s="6" t="s">
        <v>491</v>
      </c>
      <c r="N376" s="6" t="s">
        <v>463</v>
      </c>
      <c r="O376" s="20" t="s">
        <v>787</v>
      </c>
      <c r="P376" s="20" t="s">
        <v>297</v>
      </c>
      <c r="Q376" s="22" t="s">
        <v>492</v>
      </c>
      <c r="R376" s="6" t="s">
        <v>1146</v>
      </c>
      <c r="S376" s="6" t="s">
        <v>463</v>
      </c>
    </row>
    <row r="377" ht="45" customHeight="1" spans="1:19" x14ac:dyDescent="0.25">
      <c r="A377" s="20" t="s">
        <v>493</v>
      </c>
      <c r="B377" s="20" t="s">
        <v>494</v>
      </c>
      <c r="C377" s="6" t="s">
        <v>412</v>
      </c>
      <c r="D377" s="6"/>
      <c r="E377" s="20"/>
      <c r="F377" s="20"/>
      <c r="G377" s="20" t="s">
        <v>463</v>
      </c>
      <c r="H377" s="27"/>
      <c r="I377" s="20"/>
      <c r="J377" s="6"/>
      <c r="K377" s="6"/>
      <c r="L377" s="6"/>
      <c r="M377" s="6" t="s">
        <v>496</v>
      </c>
      <c r="N377" s="6" t="s">
        <v>495</v>
      </c>
      <c r="O377" s="20" t="s">
        <v>1008</v>
      </c>
      <c r="P377" s="20" t="s">
        <v>297</v>
      </c>
      <c r="Q377" s="22" t="s">
        <v>498</v>
      </c>
      <c r="R377" s="6" t="s">
        <v>1147</v>
      </c>
      <c r="S377" s="6"/>
    </row>
    <row r="378" ht="45" customHeight="1" spans="1:19" x14ac:dyDescent="0.25">
      <c r="A378" s="20" t="s">
        <v>499</v>
      </c>
      <c r="B378" s="20" t="s">
        <v>500</v>
      </c>
      <c r="C378" s="6" t="s">
        <v>1148</v>
      </c>
      <c r="D378" s="6" t="s">
        <v>841</v>
      </c>
      <c r="E378" s="20">
        <v>3.5</v>
      </c>
      <c r="F378" s="20">
        <v>7.5</v>
      </c>
      <c r="G378" s="20" t="s">
        <v>667</v>
      </c>
      <c r="H378" s="27">
        <v>78</v>
      </c>
      <c r="I378" s="20" t="s">
        <v>668</v>
      </c>
      <c r="J378" s="6" t="s">
        <v>1149</v>
      </c>
      <c r="K378" s="6" t="s">
        <v>1150</v>
      </c>
      <c r="L378" s="6" t="s">
        <v>503</v>
      </c>
      <c r="M378" s="6" t="s">
        <v>504</v>
      </c>
      <c r="N378" s="6" t="s">
        <v>502</v>
      </c>
      <c r="O378" s="20" t="s">
        <v>1151</v>
      </c>
      <c r="P378" s="20" t="s">
        <v>269</v>
      </c>
      <c r="Q378" s="22" t="s">
        <v>505</v>
      </c>
      <c r="R378" s="6" t="s">
        <v>1152</v>
      </c>
      <c r="S378" s="6" t="s">
        <v>1153</v>
      </c>
    </row>
    <row r="379" ht="45" customHeight="1" spans="1:19" x14ac:dyDescent="0.25">
      <c r="A379" s="20" t="s">
        <v>499</v>
      </c>
      <c r="B379" s="20" t="s">
        <v>500</v>
      </c>
      <c r="C379" s="6" t="s">
        <v>1148</v>
      </c>
      <c r="D379" s="6" t="s">
        <v>841</v>
      </c>
      <c r="E379" s="20">
        <v>3.5</v>
      </c>
      <c r="F379" s="20">
        <v>7.5</v>
      </c>
      <c r="G379" s="20" t="s">
        <v>674</v>
      </c>
      <c r="H379" s="27">
        <v>788</v>
      </c>
      <c r="I379" s="20" t="s">
        <v>668</v>
      </c>
      <c r="J379" s="6" t="s">
        <v>1149</v>
      </c>
      <c r="K379" s="6" t="s">
        <v>1150</v>
      </c>
      <c r="L379" s="6" t="s">
        <v>503</v>
      </c>
      <c r="M379" s="6" t="s">
        <v>504</v>
      </c>
      <c r="N379" s="6" t="s">
        <v>502</v>
      </c>
      <c r="O379" s="20" t="s">
        <v>1151</v>
      </c>
      <c r="P379" s="20" t="s">
        <v>269</v>
      </c>
      <c r="Q379" s="22" t="s">
        <v>505</v>
      </c>
      <c r="R379" s="6" t="s">
        <v>1154</v>
      </c>
      <c r="S379" s="6" t="s">
        <v>1153</v>
      </c>
    </row>
    <row r="380" ht="45" customHeight="1" spans="1:19" x14ac:dyDescent="0.25">
      <c r="A380" s="20" t="s">
        <v>499</v>
      </c>
      <c r="B380" s="20" t="s">
        <v>500</v>
      </c>
      <c r="C380" s="6" t="s">
        <v>1148</v>
      </c>
      <c r="D380" s="6" t="s">
        <v>1155</v>
      </c>
      <c r="E380" s="20">
        <v>7.5</v>
      </c>
      <c r="F380" s="20">
        <v>16</v>
      </c>
      <c r="G380" s="20" t="s">
        <v>667</v>
      </c>
      <c r="H380" s="27">
        <v>238</v>
      </c>
      <c r="I380" s="20" t="s">
        <v>668</v>
      </c>
      <c r="J380" s="6" t="s">
        <v>1156</v>
      </c>
      <c r="K380" s="6" t="s">
        <v>1150</v>
      </c>
      <c r="L380" s="6" t="s">
        <v>503</v>
      </c>
      <c r="M380" s="6" t="s">
        <v>504</v>
      </c>
      <c r="N380" s="6" t="s">
        <v>502</v>
      </c>
      <c r="O380" s="20" t="s">
        <v>1151</v>
      </c>
      <c r="P380" s="20" t="s">
        <v>269</v>
      </c>
      <c r="Q380" s="22" t="s">
        <v>505</v>
      </c>
      <c r="R380" s="6" t="s">
        <v>1157</v>
      </c>
      <c r="S380" s="6" t="s">
        <v>1153</v>
      </c>
    </row>
    <row r="381" ht="45" customHeight="1" spans="1:19" x14ac:dyDescent="0.25">
      <c r="A381" s="20" t="s">
        <v>499</v>
      </c>
      <c r="B381" s="20" t="s">
        <v>500</v>
      </c>
      <c r="C381" s="6" t="s">
        <v>1148</v>
      </c>
      <c r="D381" s="6" t="s">
        <v>1155</v>
      </c>
      <c r="E381" s="20">
        <v>7.5</v>
      </c>
      <c r="F381" s="20">
        <v>16</v>
      </c>
      <c r="G381" s="20" t="s">
        <v>674</v>
      </c>
      <c r="H381" s="27">
        <v>2363</v>
      </c>
      <c r="I381" s="20" t="s">
        <v>668</v>
      </c>
      <c r="J381" s="6" t="s">
        <v>1156</v>
      </c>
      <c r="K381" s="6" t="s">
        <v>1150</v>
      </c>
      <c r="L381" s="6" t="s">
        <v>503</v>
      </c>
      <c r="M381" s="6" t="s">
        <v>504</v>
      </c>
      <c r="N381" s="6" t="s">
        <v>502</v>
      </c>
      <c r="O381" s="20" t="s">
        <v>1151</v>
      </c>
      <c r="P381" s="20" t="s">
        <v>269</v>
      </c>
      <c r="Q381" s="22" t="s">
        <v>505</v>
      </c>
      <c r="R381" s="6" t="s">
        <v>1158</v>
      </c>
      <c r="S381" s="6" t="s">
        <v>1153</v>
      </c>
    </row>
    <row r="382" ht="45" customHeight="1" spans="1:19" x14ac:dyDescent="0.25">
      <c r="A382" s="20" t="s">
        <v>499</v>
      </c>
      <c r="B382" s="20" t="s">
        <v>500</v>
      </c>
      <c r="C382" s="6" t="s">
        <v>1148</v>
      </c>
      <c r="D382" s="6" t="s">
        <v>1159</v>
      </c>
      <c r="E382" s="20">
        <v>7.5</v>
      </c>
      <c r="F382" s="20">
        <v>16</v>
      </c>
      <c r="G382" s="20" t="s">
        <v>667</v>
      </c>
      <c r="H382" s="27">
        <v>116</v>
      </c>
      <c r="I382" s="20" t="s">
        <v>668</v>
      </c>
      <c r="J382" s="6" t="s">
        <v>1160</v>
      </c>
      <c r="K382" s="6" t="s">
        <v>1150</v>
      </c>
      <c r="L382" s="6" t="s">
        <v>503</v>
      </c>
      <c r="M382" s="6" t="s">
        <v>504</v>
      </c>
      <c r="N382" s="6" t="s">
        <v>502</v>
      </c>
      <c r="O382" s="20" t="s">
        <v>1151</v>
      </c>
      <c r="P382" s="20" t="s">
        <v>269</v>
      </c>
      <c r="Q382" s="22" t="s">
        <v>505</v>
      </c>
      <c r="R382" s="6" t="s">
        <v>1161</v>
      </c>
      <c r="S382" s="6" t="s">
        <v>1153</v>
      </c>
    </row>
    <row r="383" ht="45" customHeight="1" spans="1:19" x14ac:dyDescent="0.25">
      <c r="A383" s="20" t="s">
        <v>499</v>
      </c>
      <c r="B383" s="20" t="s">
        <v>500</v>
      </c>
      <c r="C383" s="6" t="s">
        <v>1148</v>
      </c>
      <c r="D383" s="6" t="s">
        <v>1159</v>
      </c>
      <c r="E383" s="20">
        <v>7.5</v>
      </c>
      <c r="F383" s="20">
        <v>16</v>
      </c>
      <c r="G383" s="20" t="s">
        <v>674</v>
      </c>
      <c r="H383" s="27">
        <v>1185</v>
      </c>
      <c r="I383" s="20" t="s">
        <v>668</v>
      </c>
      <c r="J383" s="6" t="s">
        <v>1160</v>
      </c>
      <c r="K383" s="6" t="s">
        <v>1150</v>
      </c>
      <c r="L383" s="6" t="s">
        <v>503</v>
      </c>
      <c r="M383" s="6" t="s">
        <v>504</v>
      </c>
      <c r="N383" s="6" t="s">
        <v>502</v>
      </c>
      <c r="O383" s="20" t="s">
        <v>1151</v>
      </c>
      <c r="P383" s="20" t="s">
        <v>269</v>
      </c>
      <c r="Q383" s="22" t="s">
        <v>505</v>
      </c>
      <c r="R383" s="6" t="s">
        <v>1162</v>
      </c>
      <c r="S383" s="6" t="s">
        <v>1153</v>
      </c>
    </row>
    <row r="384" ht="45" customHeight="1" spans="1:19" x14ac:dyDescent="0.25">
      <c r="A384" s="20" t="s">
        <v>499</v>
      </c>
      <c r="B384" s="20" t="s">
        <v>500</v>
      </c>
      <c r="C384" s="6" t="s">
        <v>1148</v>
      </c>
      <c r="D384" s="6" t="s">
        <v>1163</v>
      </c>
      <c r="E384" s="20">
        <v>16</v>
      </c>
      <c r="F384" s="20"/>
      <c r="G384" s="20" t="s">
        <v>667</v>
      </c>
      <c r="H384" s="27">
        <v>473</v>
      </c>
      <c r="I384" s="20" t="s">
        <v>668</v>
      </c>
      <c r="J384" s="6" t="s">
        <v>1164</v>
      </c>
      <c r="K384" s="6" t="s">
        <v>1150</v>
      </c>
      <c r="L384" s="6" t="s">
        <v>503</v>
      </c>
      <c r="M384" s="6" t="s">
        <v>504</v>
      </c>
      <c r="N384" s="6" t="s">
        <v>502</v>
      </c>
      <c r="O384" s="20" t="s">
        <v>1151</v>
      </c>
      <c r="P384" s="20" t="s">
        <v>269</v>
      </c>
      <c r="Q384" s="22" t="s">
        <v>505</v>
      </c>
      <c r="R384" s="6" t="s">
        <v>1165</v>
      </c>
      <c r="S384" s="6" t="s">
        <v>1153</v>
      </c>
    </row>
    <row r="385" ht="45" customHeight="1" spans="1:19" x14ac:dyDescent="0.25">
      <c r="A385" s="20" t="s">
        <v>499</v>
      </c>
      <c r="B385" s="20" t="s">
        <v>500</v>
      </c>
      <c r="C385" s="6" t="s">
        <v>1148</v>
      </c>
      <c r="D385" s="6" t="s">
        <v>1163</v>
      </c>
      <c r="E385" s="20">
        <v>16</v>
      </c>
      <c r="F385" s="20"/>
      <c r="G385" s="20" t="s">
        <v>674</v>
      </c>
      <c r="H385" s="27">
        <v>4728</v>
      </c>
      <c r="I385" s="20" t="s">
        <v>668</v>
      </c>
      <c r="J385" s="6" t="s">
        <v>1164</v>
      </c>
      <c r="K385" s="6" t="s">
        <v>1150</v>
      </c>
      <c r="L385" s="6" t="s">
        <v>503</v>
      </c>
      <c r="M385" s="6" t="s">
        <v>504</v>
      </c>
      <c r="N385" s="6" t="s">
        <v>502</v>
      </c>
      <c r="O385" s="20" t="s">
        <v>1151</v>
      </c>
      <c r="P385" s="20" t="s">
        <v>269</v>
      </c>
      <c r="Q385" s="22" t="s">
        <v>505</v>
      </c>
      <c r="R385" s="6" t="s">
        <v>1166</v>
      </c>
      <c r="S385" s="6" t="s">
        <v>1153</v>
      </c>
    </row>
    <row r="386" ht="45" customHeight="1" spans="1:19" x14ac:dyDescent="0.25">
      <c r="A386" s="20" t="s">
        <v>506</v>
      </c>
      <c r="B386" s="20" t="s">
        <v>506</v>
      </c>
      <c r="C386" s="6" t="s">
        <v>1167</v>
      </c>
      <c r="D386" s="6" t="s">
        <v>989</v>
      </c>
      <c r="E386" s="20">
        <v>3.5</v>
      </c>
      <c r="F386" s="20"/>
      <c r="G386" s="20" t="s">
        <v>716</v>
      </c>
      <c r="H386" s="27"/>
      <c r="I386" s="20"/>
      <c r="J386" s="6"/>
      <c r="K386" s="6" t="s">
        <v>1168</v>
      </c>
      <c r="L386" s="6" t="s">
        <v>508</v>
      </c>
      <c r="M386" s="6" t="s">
        <v>509</v>
      </c>
      <c r="N386" s="6" t="s">
        <v>507</v>
      </c>
      <c r="O386" s="20" t="s">
        <v>1169</v>
      </c>
      <c r="P386" s="20" t="s">
        <v>236</v>
      </c>
      <c r="Q386" s="22" t="s">
        <v>511</v>
      </c>
      <c r="R386" s="6" t="s">
        <v>1170</v>
      </c>
      <c r="S386" s="6" t="s">
        <v>1171</v>
      </c>
    </row>
    <row r="387" ht="45" customHeight="1" spans="1:19" x14ac:dyDescent="0.25">
      <c r="A387" s="20" t="s">
        <v>506</v>
      </c>
      <c r="B387" s="20" t="s">
        <v>506</v>
      </c>
      <c r="C387" s="6" t="s">
        <v>1172</v>
      </c>
      <c r="D387" s="6" t="s">
        <v>1173</v>
      </c>
      <c r="E387" s="20"/>
      <c r="F387" s="20">
        <v>1.5</v>
      </c>
      <c r="G387" s="20" t="s">
        <v>463</v>
      </c>
      <c r="H387" s="27"/>
      <c r="I387" s="20"/>
      <c r="J387" s="6" t="s">
        <v>1174</v>
      </c>
      <c r="K387" s="6" t="s">
        <v>1175</v>
      </c>
      <c r="L387" s="6" t="s">
        <v>508</v>
      </c>
      <c r="M387" s="6" t="s">
        <v>509</v>
      </c>
      <c r="N387" s="6" t="s">
        <v>507</v>
      </c>
      <c r="O387" s="20" t="s">
        <v>1169</v>
      </c>
      <c r="P387" s="20" t="s">
        <v>236</v>
      </c>
      <c r="Q387" s="22" t="s">
        <v>511</v>
      </c>
      <c r="R387" s="6" t="s">
        <v>1176</v>
      </c>
      <c r="S387" s="6" t="s">
        <v>1177</v>
      </c>
    </row>
    <row r="388" ht="45" customHeight="1" spans="1:19" x14ac:dyDescent="0.25">
      <c r="A388" s="20" t="s">
        <v>506</v>
      </c>
      <c r="B388" s="20" t="s">
        <v>506</v>
      </c>
      <c r="C388" s="6" t="s">
        <v>1178</v>
      </c>
      <c r="D388" s="6" t="s">
        <v>1179</v>
      </c>
      <c r="E388" s="20">
        <v>3.5</v>
      </c>
      <c r="F388" s="20"/>
      <c r="G388" s="20" t="s">
        <v>463</v>
      </c>
      <c r="H388" s="27"/>
      <c r="I388" s="20"/>
      <c r="J388" s="6"/>
      <c r="K388" s="6" t="s">
        <v>1180</v>
      </c>
      <c r="L388" s="6" t="s">
        <v>508</v>
      </c>
      <c r="M388" s="6" t="s">
        <v>509</v>
      </c>
      <c r="N388" s="6" t="s">
        <v>507</v>
      </c>
      <c r="O388" s="20" t="s">
        <v>1169</v>
      </c>
      <c r="P388" s="20" t="s">
        <v>236</v>
      </c>
      <c r="Q388" s="22" t="s">
        <v>511</v>
      </c>
      <c r="R388" s="6" t="s">
        <v>1181</v>
      </c>
      <c r="S388" s="6" t="s">
        <v>1182</v>
      </c>
    </row>
    <row r="389" ht="45" customHeight="1" spans="1:19" x14ac:dyDescent="0.25">
      <c r="A389" s="20" t="s">
        <v>512</v>
      </c>
      <c r="B389" s="20" t="s">
        <v>512</v>
      </c>
      <c r="C389" s="6" t="s">
        <v>1183</v>
      </c>
      <c r="D389" s="6" t="s">
        <v>1184</v>
      </c>
      <c r="E389" s="20">
        <v>7.5</v>
      </c>
      <c r="F389" s="20">
        <v>15</v>
      </c>
      <c r="G389" s="20" t="s">
        <v>667</v>
      </c>
      <c r="H389" s="27">
        <v>60</v>
      </c>
      <c r="I389" s="20" t="s">
        <v>668</v>
      </c>
      <c r="J389" s="6"/>
      <c r="K389" s="6"/>
      <c r="L389" s="6" t="s">
        <v>515</v>
      </c>
      <c r="M389" s="6" t="s">
        <v>516</v>
      </c>
      <c r="N389" s="6" t="s">
        <v>514</v>
      </c>
      <c r="O389" s="20" t="s">
        <v>1185</v>
      </c>
      <c r="P389" s="20" t="s">
        <v>297</v>
      </c>
      <c r="Q389" s="22" t="s">
        <v>518</v>
      </c>
      <c r="R389" s="6" t="s">
        <v>1186</v>
      </c>
      <c r="S389" s="6" t="s">
        <v>1187</v>
      </c>
    </row>
    <row r="390" ht="45" customHeight="1" spans="1:19" x14ac:dyDescent="0.25">
      <c r="A390" s="20" t="s">
        <v>512</v>
      </c>
      <c r="B390" s="20" t="s">
        <v>512</v>
      </c>
      <c r="C390" s="6" t="s">
        <v>1183</v>
      </c>
      <c r="D390" s="6" t="s">
        <v>1184</v>
      </c>
      <c r="E390" s="20">
        <v>7.5</v>
      </c>
      <c r="F390" s="20">
        <v>15</v>
      </c>
      <c r="G390" s="20" t="s">
        <v>674</v>
      </c>
      <c r="H390" s="27">
        <v>700</v>
      </c>
      <c r="I390" s="20" t="s">
        <v>668</v>
      </c>
      <c r="J390" s="6"/>
      <c r="K390" s="6" t="s">
        <v>1188</v>
      </c>
      <c r="L390" s="6" t="s">
        <v>515</v>
      </c>
      <c r="M390" s="6" t="s">
        <v>516</v>
      </c>
      <c r="N390" s="6" t="s">
        <v>514</v>
      </c>
      <c r="O390" s="20" t="s">
        <v>1185</v>
      </c>
      <c r="P390" s="20" t="s">
        <v>297</v>
      </c>
      <c r="Q390" s="22" t="s">
        <v>518</v>
      </c>
      <c r="R390" s="6" t="s">
        <v>1186</v>
      </c>
      <c r="S390" s="6" t="s">
        <v>1187</v>
      </c>
    </row>
    <row r="391" ht="45" customHeight="1" spans="1:19" x14ac:dyDescent="0.25">
      <c r="A391" s="20" t="s">
        <v>512</v>
      </c>
      <c r="B391" s="20" t="s">
        <v>512</v>
      </c>
      <c r="C391" s="6" t="s">
        <v>1183</v>
      </c>
      <c r="D391" s="6" t="s">
        <v>1184</v>
      </c>
      <c r="E391" s="20">
        <v>7.5</v>
      </c>
      <c r="F391" s="20">
        <v>15</v>
      </c>
      <c r="G391" s="20" t="s">
        <v>785</v>
      </c>
      <c r="H391" s="27"/>
      <c r="I391" s="20" t="s">
        <v>668</v>
      </c>
      <c r="J391" s="6"/>
      <c r="K391" s="6" t="s">
        <v>1189</v>
      </c>
      <c r="L391" s="6" t="s">
        <v>515</v>
      </c>
      <c r="M391" s="6" t="s">
        <v>516</v>
      </c>
      <c r="N391" s="6" t="s">
        <v>514</v>
      </c>
      <c r="O391" s="20" t="s">
        <v>1185</v>
      </c>
      <c r="P391" s="20" t="s">
        <v>297</v>
      </c>
      <c r="Q391" s="22" t="s">
        <v>518</v>
      </c>
      <c r="R391" s="6" t="s">
        <v>1190</v>
      </c>
      <c r="S391" s="6" t="s">
        <v>1187</v>
      </c>
    </row>
    <row r="392" ht="45" customHeight="1" spans="1:19" x14ac:dyDescent="0.25">
      <c r="A392" s="20" t="s">
        <v>512</v>
      </c>
      <c r="B392" s="20" t="s">
        <v>512</v>
      </c>
      <c r="C392" s="6" t="s">
        <v>1183</v>
      </c>
      <c r="D392" s="6" t="s">
        <v>1191</v>
      </c>
      <c r="E392" s="20">
        <v>15</v>
      </c>
      <c r="F392" s="20"/>
      <c r="G392" s="20" t="s">
        <v>667</v>
      </c>
      <c r="H392" s="27">
        <v>70</v>
      </c>
      <c r="I392" s="20" t="s">
        <v>668</v>
      </c>
      <c r="J392" s="6"/>
      <c r="K392" s="6"/>
      <c r="L392" s="6" t="s">
        <v>515</v>
      </c>
      <c r="M392" s="6" t="s">
        <v>516</v>
      </c>
      <c r="N392" s="6" t="s">
        <v>514</v>
      </c>
      <c r="O392" s="20" t="s">
        <v>1185</v>
      </c>
      <c r="P392" s="20" t="s">
        <v>297</v>
      </c>
      <c r="Q392" s="22" t="s">
        <v>518</v>
      </c>
      <c r="R392" s="6" t="s">
        <v>1186</v>
      </c>
      <c r="S392" s="6" t="s">
        <v>1187</v>
      </c>
    </row>
    <row r="393" ht="45" customHeight="1" spans="1:19" x14ac:dyDescent="0.25">
      <c r="A393" s="20" t="s">
        <v>512</v>
      </c>
      <c r="B393" s="20" t="s">
        <v>512</v>
      </c>
      <c r="C393" s="6" t="s">
        <v>1183</v>
      </c>
      <c r="D393" s="6" t="s">
        <v>1191</v>
      </c>
      <c r="E393" s="20">
        <v>15</v>
      </c>
      <c r="F393" s="20"/>
      <c r="G393" s="20" t="s">
        <v>674</v>
      </c>
      <c r="H393" s="27">
        <v>900</v>
      </c>
      <c r="I393" s="20" t="s">
        <v>668</v>
      </c>
      <c r="J393" s="6"/>
      <c r="K393" s="6" t="s">
        <v>1188</v>
      </c>
      <c r="L393" s="6" t="s">
        <v>515</v>
      </c>
      <c r="M393" s="6" t="s">
        <v>516</v>
      </c>
      <c r="N393" s="6" t="s">
        <v>514</v>
      </c>
      <c r="O393" s="20" t="s">
        <v>1185</v>
      </c>
      <c r="P393" s="20" t="s">
        <v>297</v>
      </c>
      <c r="Q393" s="22" t="s">
        <v>518</v>
      </c>
      <c r="R393" s="6" t="s">
        <v>1186</v>
      </c>
      <c r="S393" s="6" t="s">
        <v>1187</v>
      </c>
    </row>
    <row r="394" ht="45" customHeight="1" spans="1:19" x14ac:dyDescent="0.25">
      <c r="A394" s="20" t="s">
        <v>512</v>
      </c>
      <c r="B394" s="20" t="s">
        <v>512</v>
      </c>
      <c r="C394" s="6" t="s">
        <v>1183</v>
      </c>
      <c r="D394" s="6" t="s">
        <v>1191</v>
      </c>
      <c r="E394" s="20">
        <v>15</v>
      </c>
      <c r="F394" s="20"/>
      <c r="G394" s="20" t="s">
        <v>785</v>
      </c>
      <c r="H394" s="27"/>
      <c r="I394" s="20" t="s">
        <v>668</v>
      </c>
      <c r="J394" s="6"/>
      <c r="K394" s="6" t="s">
        <v>1192</v>
      </c>
      <c r="L394" s="6" t="s">
        <v>515</v>
      </c>
      <c r="M394" s="6" t="s">
        <v>516</v>
      </c>
      <c r="N394" s="6" t="s">
        <v>514</v>
      </c>
      <c r="O394" s="20" t="s">
        <v>1185</v>
      </c>
      <c r="P394" s="20" t="s">
        <v>297</v>
      </c>
      <c r="Q394" s="22" t="s">
        <v>518</v>
      </c>
      <c r="R394" s="6" t="s">
        <v>1190</v>
      </c>
      <c r="S394" s="6" t="s">
        <v>1187</v>
      </c>
    </row>
    <row r="395" ht="45" customHeight="1" spans="1:19" x14ac:dyDescent="0.25">
      <c r="A395" s="20" t="s">
        <v>519</v>
      </c>
      <c r="B395" s="20" t="s">
        <v>520</v>
      </c>
      <c r="C395" s="6"/>
      <c r="D395" s="6"/>
      <c r="E395" s="20"/>
      <c r="F395" s="20"/>
      <c r="G395" s="20" t="s">
        <v>463</v>
      </c>
      <c r="H395" s="27"/>
      <c r="I395" s="20" t="s">
        <v>668</v>
      </c>
      <c r="J395" s="6"/>
      <c r="K395" s="6"/>
      <c r="L395" s="6"/>
      <c r="M395" s="6" t="s">
        <v>521</v>
      </c>
      <c r="N395" s="6" t="s">
        <v>463</v>
      </c>
      <c r="O395" s="20" t="s">
        <v>787</v>
      </c>
      <c r="P395" s="20" t="s">
        <v>297</v>
      </c>
      <c r="Q395" s="22" t="s">
        <v>522</v>
      </c>
      <c r="R395" s="6" t="s">
        <v>1193</v>
      </c>
      <c r="S395" s="6" t="s">
        <v>463</v>
      </c>
    </row>
    <row r="396" ht="45" customHeight="1" spans="1:19" x14ac:dyDescent="0.25">
      <c r="A396" s="20" t="s">
        <v>523</v>
      </c>
      <c r="B396" s="20" t="s">
        <v>524</v>
      </c>
      <c r="C396" s="6" t="s">
        <v>1194</v>
      </c>
      <c r="D396" s="6" t="s">
        <v>1195</v>
      </c>
      <c r="E396" s="20">
        <v>3.5</v>
      </c>
      <c r="F396" s="20">
        <v>7.5</v>
      </c>
      <c r="G396" s="20" t="s">
        <v>667</v>
      </c>
      <c r="H396" s="27">
        <v>50</v>
      </c>
      <c r="I396" s="20" t="s">
        <v>668</v>
      </c>
      <c r="J396" s="6" t="s">
        <v>1196</v>
      </c>
      <c r="K396" s="6" t="s">
        <v>1197</v>
      </c>
      <c r="L396" s="6" t="s">
        <v>527</v>
      </c>
      <c r="M396" s="6" t="s">
        <v>528</v>
      </c>
      <c r="N396" s="6" t="s">
        <v>526</v>
      </c>
      <c r="O396" s="20" t="s">
        <v>1198</v>
      </c>
      <c r="P396" s="20" t="s">
        <v>297</v>
      </c>
      <c r="Q396" s="22" t="s">
        <v>530</v>
      </c>
      <c r="R396" s="6" t="s">
        <v>1199</v>
      </c>
      <c r="S396" s="6" t="s">
        <v>1200</v>
      </c>
    </row>
    <row r="397" ht="45" customHeight="1" spans="1:19" x14ac:dyDescent="0.25">
      <c r="A397" s="20" t="s">
        <v>523</v>
      </c>
      <c r="B397" s="20" t="s">
        <v>524</v>
      </c>
      <c r="C397" s="6" t="s">
        <v>1194</v>
      </c>
      <c r="D397" s="6" t="s">
        <v>1195</v>
      </c>
      <c r="E397" s="20">
        <v>3.5</v>
      </c>
      <c r="F397" s="20">
        <v>7.5</v>
      </c>
      <c r="G397" s="20" t="s">
        <v>674</v>
      </c>
      <c r="H397" s="27">
        <v>600</v>
      </c>
      <c r="I397" s="20" t="s">
        <v>668</v>
      </c>
      <c r="J397" s="6" t="s">
        <v>1196</v>
      </c>
      <c r="K397" s="6" t="s">
        <v>1197</v>
      </c>
      <c r="L397" s="6" t="s">
        <v>527</v>
      </c>
      <c r="M397" s="6" t="s">
        <v>528</v>
      </c>
      <c r="N397" s="6" t="s">
        <v>526</v>
      </c>
      <c r="O397" s="20" t="s">
        <v>1198</v>
      </c>
      <c r="P397" s="20" t="s">
        <v>236</v>
      </c>
      <c r="Q397" s="22" t="s">
        <v>530</v>
      </c>
      <c r="R397" s="6" t="s">
        <v>1201</v>
      </c>
      <c r="S397" s="6" t="s">
        <v>1200</v>
      </c>
    </row>
    <row r="398" ht="45" customHeight="1" spans="1:19" x14ac:dyDescent="0.25">
      <c r="A398" s="20" t="s">
        <v>523</v>
      </c>
      <c r="B398" s="20" t="s">
        <v>524</v>
      </c>
      <c r="C398" s="6" t="s">
        <v>1202</v>
      </c>
      <c r="D398" s="6" t="s">
        <v>1203</v>
      </c>
      <c r="E398" s="20">
        <v>7.51</v>
      </c>
      <c r="F398" s="20">
        <v>12.5</v>
      </c>
      <c r="G398" s="20" t="s">
        <v>667</v>
      </c>
      <c r="H398" s="27">
        <v>25</v>
      </c>
      <c r="I398" s="20" t="s">
        <v>668</v>
      </c>
      <c r="J398" s="6"/>
      <c r="K398" s="6" t="s">
        <v>1204</v>
      </c>
      <c r="L398" s="6" t="s">
        <v>527</v>
      </c>
      <c r="M398" s="6" t="s">
        <v>528</v>
      </c>
      <c r="N398" s="6" t="s">
        <v>526</v>
      </c>
      <c r="O398" s="20" t="s">
        <v>1198</v>
      </c>
      <c r="P398" s="20" t="s">
        <v>236</v>
      </c>
      <c r="Q398" s="22" t="s">
        <v>530</v>
      </c>
      <c r="R398" s="6" t="s">
        <v>1201</v>
      </c>
      <c r="S398" s="6" t="s">
        <v>1205</v>
      </c>
    </row>
    <row r="399" ht="45" customHeight="1" spans="1:19" x14ac:dyDescent="0.25">
      <c r="A399" s="20" t="s">
        <v>523</v>
      </c>
      <c r="B399" s="20" t="s">
        <v>524</v>
      </c>
      <c r="C399" s="6" t="s">
        <v>1202</v>
      </c>
      <c r="D399" s="6" t="s">
        <v>1203</v>
      </c>
      <c r="E399" s="20">
        <v>7.51</v>
      </c>
      <c r="F399" s="20">
        <v>12.5</v>
      </c>
      <c r="G399" s="20" t="s">
        <v>674</v>
      </c>
      <c r="H399" s="27">
        <v>300</v>
      </c>
      <c r="I399" s="20" t="s">
        <v>668</v>
      </c>
      <c r="J399" s="6"/>
      <c r="K399" s="6" t="s">
        <v>1204</v>
      </c>
      <c r="L399" s="6" t="s">
        <v>527</v>
      </c>
      <c r="M399" s="6" t="s">
        <v>528</v>
      </c>
      <c r="N399" s="6" t="s">
        <v>526</v>
      </c>
      <c r="O399" s="20" t="s">
        <v>1198</v>
      </c>
      <c r="P399" s="20" t="s">
        <v>236</v>
      </c>
      <c r="Q399" s="22" t="s">
        <v>530</v>
      </c>
      <c r="R399" s="6" t="s">
        <v>1201</v>
      </c>
      <c r="S399" s="6" t="s">
        <v>1205</v>
      </c>
    </row>
    <row r="400" ht="45" customHeight="1" spans="1:19" x14ac:dyDescent="0.25">
      <c r="A400" s="20" t="s">
        <v>523</v>
      </c>
      <c r="B400" s="20" t="s">
        <v>524</v>
      </c>
      <c r="C400" s="6" t="s">
        <v>1202</v>
      </c>
      <c r="D400" s="6" t="s">
        <v>1206</v>
      </c>
      <c r="E400" s="20">
        <v>12.51</v>
      </c>
      <c r="F400" s="20">
        <v>16</v>
      </c>
      <c r="G400" s="20" t="s">
        <v>667</v>
      </c>
      <c r="H400" s="27">
        <v>40</v>
      </c>
      <c r="I400" s="20" t="s">
        <v>668</v>
      </c>
      <c r="J400" s="6"/>
      <c r="K400" s="6" t="s">
        <v>1204</v>
      </c>
      <c r="L400" s="6" t="s">
        <v>527</v>
      </c>
      <c r="M400" s="6" t="s">
        <v>528</v>
      </c>
      <c r="N400" s="6" t="s">
        <v>526</v>
      </c>
      <c r="O400" s="20" t="s">
        <v>1198</v>
      </c>
      <c r="P400" s="20" t="s">
        <v>236</v>
      </c>
      <c r="Q400" s="22" t="s">
        <v>530</v>
      </c>
      <c r="R400" s="6" t="s">
        <v>1201</v>
      </c>
      <c r="S400" s="6" t="s">
        <v>1205</v>
      </c>
    </row>
    <row r="401" ht="45" customHeight="1" spans="1:19" x14ac:dyDescent="0.25">
      <c r="A401" s="20" t="s">
        <v>523</v>
      </c>
      <c r="B401" s="20" t="s">
        <v>524</v>
      </c>
      <c r="C401" s="6" t="s">
        <v>1202</v>
      </c>
      <c r="D401" s="6" t="s">
        <v>1206</v>
      </c>
      <c r="E401" s="20">
        <v>12.51</v>
      </c>
      <c r="F401" s="20">
        <v>16</v>
      </c>
      <c r="G401" s="20" t="s">
        <v>674</v>
      </c>
      <c r="H401" s="27">
        <v>500</v>
      </c>
      <c r="I401" s="20" t="s">
        <v>668</v>
      </c>
      <c r="J401" s="6"/>
      <c r="K401" s="6" t="s">
        <v>1204</v>
      </c>
      <c r="L401" s="6" t="s">
        <v>527</v>
      </c>
      <c r="M401" s="6" t="s">
        <v>528</v>
      </c>
      <c r="N401" s="6" t="s">
        <v>526</v>
      </c>
      <c r="O401" s="20" t="s">
        <v>1198</v>
      </c>
      <c r="P401" s="20" t="s">
        <v>236</v>
      </c>
      <c r="Q401" s="22" t="s">
        <v>530</v>
      </c>
      <c r="R401" s="6" t="s">
        <v>1201</v>
      </c>
      <c r="S401" s="6" t="s">
        <v>1205</v>
      </c>
    </row>
    <row r="402" ht="45" customHeight="1" spans="1:19" x14ac:dyDescent="0.25">
      <c r="A402" s="20" t="s">
        <v>523</v>
      </c>
      <c r="B402" s="20" t="s">
        <v>524</v>
      </c>
      <c r="C402" s="6" t="s">
        <v>1207</v>
      </c>
      <c r="D402" s="6" t="s">
        <v>1208</v>
      </c>
      <c r="E402" s="20"/>
      <c r="F402" s="20">
        <v>22</v>
      </c>
      <c r="G402" s="20" t="s">
        <v>706</v>
      </c>
      <c r="H402" s="27"/>
      <c r="I402" s="20" t="s">
        <v>668</v>
      </c>
      <c r="J402" s="6"/>
      <c r="K402" s="6" t="s">
        <v>1209</v>
      </c>
      <c r="L402" s="6" t="s">
        <v>527</v>
      </c>
      <c r="M402" s="6" t="s">
        <v>528</v>
      </c>
      <c r="N402" s="6" t="s">
        <v>526</v>
      </c>
      <c r="O402" s="20" t="s">
        <v>1198</v>
      </c>
      <c r="P402" s="20" t="s">
        <v>236</v>
      </c>
      <c r="Q402" s="22" t="s">
        <v>530</v>
      </c>
      <c r="R402" s="6" t="s">
        <v>1201</v>
      </c>
      <c r="S402" s="6" t="s">
        <v>1210</v>
      </c>
    </row>
    <row r="403" ht="45" customHeight="1" spans="1:19" x14ac:dyDescent="0.25">
      <c r="A403" s="20" t="s">
        <v>523</v>
      </c>
      <c r="B403" s="20" t="s">
        <v>524</v>
      </c>
      <c r="C403" s="6" t="s">
        <v>1211</v>
      </c>
      <c r="D403" s="6" t="s">
        <v>989</v>
      </c>
      <c r="E403" s="20">
        <v>3.5</v>
      </c>
      <c r="F403" s="20"/>
      <c r="G403" s="20" t="s">
        <v>716</v>
      </c>
      <c r="H403" s="27"/>
      <c r="I403" s="20" t="s">
        <v>668</v>
      </c>
      <c r="J403" s="6" t="s">
        <v>1212</v>
      </c>
      <c r="K403" s="6" t="s">
        <v>1213</v>
      </c>
      <c r="L403" s="6" t="s">
        <v>527</v>
      </c>
      <c r="M403" s="6" t="s">
        <v>528</v>
      </c>
      <c r="N403" s="6" t="s">
        <v>1214</v>
      </c>
      <c r="O403" s="20" t="s">
        <v>1215</v>
      </c>
      <c r="P403" s="20" t="s">
        <v>236</v>
      </c>
      <c r="Q403" s="22" t="s">
        <v>1216</v>
      </c>
      <c r="R403" s="6" t="s">
        <v>1217</v>
      </c>
      <c r="S403" s="6" t="s">
        <v>1218</v>
      </c>
    </row>
    <row r="404" ht="45" customHeight="1" spans="1:19" x14ac:dyDescent="0.25">
      <c r="A404" s="20" t="s">
        <v>531</v>
      </c>
      <c r="B404" s="20" t="s">
        <v>532</v>
      </c>
      <c r="C404" s="6" t="s">
        <v>1219</v>
      </c>
      <c r="D404" s="6" t="s">
        <v>1220</v>
      </c>
      <c r="E404" s="20">
        <v>3.5</v>
      </c>
      <c r="F404" s="20">
        <v>7.5</v>
      </c>
      <c r="G404" s="20" t="s">
        <v>667</v>
      </c>
      <c r="H404" s="27">
        <v>25</v>
      </c>
      <c r="I404" s="20" t="s">
        <v>668</v>
      </c>
      <c r="J404" s="6"/>
      <c r="K404" s="6" t="s">
        <v>1221</v>
      </c>
      <c r="L404" s="6" t="s">
        <v>535</v>
      </c>
      <c r="M404" s="6" t="s">
        <v>536</v>
      </c>
      <c r="N404" s="6" t="s">
        <v>534</v>
      </c>
      <c r="O404" s="20" t="s">
        <v>1222</v>
      </c>
      <c r="P404" s="20" t="s">
        <v>269</v>
      </c>
      <c r="Q404" s="22" t="s">
        <v>537</v>
      </c>
      <c r="R404" s="6" t="s">
        <v>1223</v>
      </c>
      <c r="S404" s="6" t="s">
        <v>1224</v>
      </c>
    </row>
    <row r="405" ht="45" customHeight="1" spans="1:19" x14ac:dyDescent="0.25">
      <c r="A405" s="20" t="s">
        <v>531</v>
      </c>
      <c r="B405" s="20" t="s">
        <v>532</v>
      </c>
      <c r="C405" s="6" t="s">
        <v>1219</v>
      </c>
      <c r="D405" s="6" t="s">
        <v>1220</v>
      </c>
      <c r="E405" s="20">
        <v>3.5</v>
      </c>
      <c r="F405" s="20">
        <v>7.5</v>
      </c>
      <c r="G405" s="20" t="s">
        <v>674</v>
      </c>
      <c r="H405" s="27">
        <v>250</v>
      </c>
      <c r="I405" s="20" t="s">
        <v>668</v>
      </c>
      <c r="J405" s="6"/>
      <c r="K405" s="6"/>
      <c r="L405" s="6" t="s">
        <v>535</v>
      </c>
      <c r="M405" s="6" t="s">
        <v>536</v>
      </c>
      <c r="N405" s="6" t="s">
        <v>534</v>
      </c>
      <c r="O405" s="20" t="s">
        <v>1222</v>
      </c>
      <c r="P405" s="20" t="s">
        <v>269</v>
      </c>
      <c r="Q405" s="22" t="s">
        <v>537</v>
      </c>
      <c r="R405" s="6" t="s">
        <v>1223</v>
      </c>
      <c r="S405" s="6" t="s">
        <v>1224</v>
      </c>
    </row>
    <row r="406" ht="45" customHeight="1" spans="1:19" x14ac:dyDescent="0.25">
      <c r="A406" s="20" t="s">
        <v>531</v>
      </c>
      <c r="B406" s="20" t="s">
        <v>532</v>
      </c>
      <c r="C406" s="6" t="s">
        <v>1219</v>
      </c>
      <c r="D406" s="6" t="s">
        <v>1220</v>
      </c>
      <c r="E406" s="20">
        <v>3.5</v>
      </c>
      <c r="F406" s="20">
        <v>7.5</v>
      </c>
      <c r="G406" s="20" t="s">
        <v>735</v>
      </c>
      <c r="H406" s="27">
        <v>2000</v>
      </c>
      <c r="I406" s="20" t="s">
        <v>668</v>
      </c>
      <c r="J406" s="6"/>
      <c r="K406" s="6"/>
      <c r="L406" s="6" t="s">
        <v>535</v>
      </c>
      <c r="M406" s="6" t="s">
        <v>536</v>
      </c>
      <c r="N406" s="6" t="s">
        <v>534</v>
      </c>
      <c r="O406" s="20" t="s">
        <v>1222</v>
      </c>
      <c r="P406" s="20" t="s">
        <v>269</v>
      </c>
      <c r="Q406" s="22" t="s">
        <v>537</v>
      </c>
      <c r="R406" s="6" t="s">
        <v>1223</v>
      </c>
      <c r="S406" s="6" t="s">
        <v>1224</v>
      </c>
    </row>
    <row r="407" ht="45" customHeight="1" spans="1:19" x14ac:dyDescent="0.25">
      <c r="A407" s="20" t="s">
        <v>531</v>
      </c>
      <c r="B407" s="20" t="s">
        <v>532</v>
      </c>
      <c r="C407" s="6" t="s">
        <v>1219</v>
      </c>
      <c r="D407" s="6" t="s">
        <v>1225</v>
      </c>
      <c r="E407" s="20">
        <v>7.5</v>
      </c>
      <c r="F407" s="20">
        <v>16</v>
      </c>
      <c r="G407" s="20" t="s">
        <v>667</v>
      </c>
      <c r="H407" s="27">
        <v>50</v>
      </c>
      <c r="I407" s="20" t="s">
        <v>668</v>
      </c>
      <c r="J407" s="6"/>
      <c r="K407" s="6" t="s">
        <v>1226</v>
      </c>
      <c r="L407" s="6" t="s">
        <v>535</v>
      </c>
      <c r="M407" s="6" t="s">
        <v>536</v>
      </c>
      <c r="N407" s="6" t="s">
        <v>534</v>
      </c>
      <c r="O407" s="20" t="s">
        <v>1222</v>
      </c>
      <c r="P407" s="20" t="s">
        <v>269</v>
      </c>
      <c r="Q407" s="22" t="s">
        <v>537</v>
      </c>
      <c r="R407" s="6" t="s">
        <v>1223</v>
      </c>
      <c r="S407" s="6" t="s">
        <v>1224</v>
      </c>
    </row>
    <row r="408" ht="45" customHeight="1" spans="1:19" x14ac:dyDescent="0.25">
      <c r="A408" s="20" t="s">
        <v>531</v>
      </c>
      <c r="B408" s="20" t="s">
        <v>532</v>
      </c>
      <c r="C408" s="6" t="s">
        <v>1219</v>
      </c>
      <c r="D408" s="6" t="s">
        <v>1225</v>
      </c>
      <c r="E408" s="20">
        <v>7.5</v>
      </c>
      <c r="F408" s="20">
        <v>16</v>
      </c>
      <c r="G408" s="20" t="s">
        <v>674</v>
      </c>
      <c r="H408" s="27">
        <v>500</v>
      </c>
      <c r="I408" s="20" t="s">
        <v>668</v>
      </c>
      <c r="J408" s="6"/>
      <c r="K408" s="6"/>
      <c r="L408" s="6" t="s">
        <v>535</v>
      </c>
      <c r="M408" s="6" t="s">
        <v>536</v>
      </c>
      <c r="N408" s="6" t="s">
        <v>534</v>
      </c>
      <c r="O408" s="20" t="s">
        <v>1222</v>
      </c>
      <c r="P408" s="20" t="s">
        <v>269</v>
      </c>
      <c r="Q408" s="22" t="s">
        <v>537</v>
      </c>
      <c r="R408" s="6" t="s">
        <v>1223</v>
      </c>
      <c r="S408" s="6" t="s">
        <v>1224</v>
      </c>
    </row>
    <row r="409" ht="45" customHeight="1" spans="1:19" x14ac:dyDescent="0.25">
      <c r="A409" s="20" t="s">
        <v>531</v>
      </c>
      <c r="B409" s="20" t="s">
        <v>532</v>
      </c>
      <c r="C409" s="6" t="s">
        <v>1219</v>
      </c>
      <c r="D409" s="6" t="s">
        <v>1225</v>
      </c>
      <c r="E409" s="20">
        <v>7.5</v>
      </c>
      <c r="F409" s="20">
        <v>16</v>
      </c>
      <c r="G409" s="20" t="s">
        <v>735</v>
      </c>
      <c r="H409" s="27">
        <v>3500</v>
      </c>
      <c r="I409" s="20" t="s">
        <v>668</v>
      </c>
      <c r="J409" s="6"/>
      <c r="K409" s="6"/>
      <c r="L409" s="6" t="s">
        <v>535</v>
      </c>
      <c r="M409" s="6" t="s">
        <v>536</v>
      </c>
      <c r="N409" s="6" t="s">
        <v>534</v>
      </c>
      <c r="O409" s="20" t="s">
        <v>1222</v>
      </c>
      <c r="P409" s="20" t="s">
        <v>269</v>
      </c>
      <c r="Q409" s="22" t="s">
        <v>537</v>
      </c>
      <c r="R409" s="6" t="s">
        <v>1223</v>
      </c>
      <c r="S409" s="6" t="s">
        <v>1224</v>
      </c>
    </row>
    <row r="410" ht="45" customHeight="1" spans="1:19" x14ac:dyDescent="0.25">
      <c r="A410" s="20" t="s">
        <v>531</v>
      </c>
      <c r="B410" s="20" t="s">
        <v>532</v>
      </c>
      <c r="C410" s="6" t="s">
        <v>1219</v>
      </c>
      <c r="D410" s="6" t="s">
        <v>1227</v>
      </c>
      <c r="E410" s="20">
        <v>16</v>
      </c>
      <c r="F410" s="20">
        <v>26</v>
      </c>
      <c r="G410" s="20" t="s">
        <v>667</v>
      </c>
      <c r="H410" s="27">
        <v>80</v>
      </c>
      <c r="I410" s="20" t="s">
        <v>668</v>
      </c>
      <c r="J410" s="6"/>
      <c r="K410" s="6"/>
      <c r="L410" s="6" t="s">
        <v>535</v>
      </c>
      <c r="M410" s="6" t="s">
        <v>536</v>
      </c>
      <c r="N410" s="6" t="s">
        <v>534</v>
      </c>
      <c r="O410" s="20" t="s">
        <v>1222</v>
      </c>
      <c r="P410" s="20" t="s">
        <v>269</v>
      </c>
      <c r="Q410" s="22" t="s">
        <v>537</v>
      </c>
      <c r="R410" s="6" t="s">
        <v>1223</v>
      </c>
      <c r="S410" s="6" t="s">
        <v>1224</v>
      </c>
    </row>
    <row r="411" ht="45" customHeight="1" spans="1:19" x14ac:dyDescent="0.25">
      <c r="A411" s="20" t="s">
        <v>531</v>
      </c>
      <c r="B411" s="20" t="s">
        <v>532</v>
      </c>
      <c r="C411" s="6" t="s">
        <v>1219</v>
      </c>
      <c r="D411" s="6" t="s">
        <v>1227</v>
      </c>
      <c r="E411" s="20">
        <v>16</v>
      </c>
      <c r="F411" s="20">
        <v>26</v>
      </c>
      <c r="G411" s="20" t="s">
        <v>674</v>
      </c>
      <c r="H411" s="27">
        <v>800</v>
      </c>
      <c r="I411" s="20" t="s">
        <v>668</v>
      </c>
      <c r="J411" s="6"/>
      <c r="K411" s="6"/>
      <c r="L411" s="6" t="s">
        <v>535</v>
      </c>
      <c r="M411" s="6" t="s">
        <v>536</v>
      </c>
      <c r="N411" s="6" t="s">
        <v>534</v>
      </c>
      <c r="O411" s="20" t="s">
        <v>1222</v>
      </c>
      <c r="P411" s="20" t="s">
        <v>269</v>
      </c>
      <c r="Q411" s="22" t="s">
        <v>537</v>
      </c>
      <c r="R411" s="6" t="s">
        <v>1223</v>
      </c>
      <c r="S411" s="6" t="s">
        <v>1224</v>
      </c>
    </row>
    <row r="412" ht="45" customHeight="1" spans="1:19" x14ac:dyDescent="0.25">
      <c r="A412" s="20" t="s">
        <v>531</v>
      </c>
      <c r="B412" s="20" t="s">
        <v>532</v>
      </c>
      <c r="C412" s="6" t="s">
        <v>1219</v>
      </c>
      <c r="D412" s="6" t="s">
        <v>1227</v>
      </c>
      <c r="E412" s="20">
        <v>16</v>
      </c>
      <c r="F412" s="20">
        <v>26</v>
      </c>
      <c r="G412" s="20" t="s">
        <v>735</v>
      </c>
      <c r="H412" s="27">
        <v>4000</v>
      </c>
      <c r="I412" s="20" t="s">
        <v>668</v>
      </c>
      <c r="J412" s="6"/>
      <c r="K412" s="6"/>
      <c r="L412" s="6" t="s">
        <v>535</v>
      </c>
      <c r="M412" s="6" t="s">
        <v>536</v>
      </c>
      <c r="N412" s="6" t="s">
        <v>534</v>
      </c>
      <c r="O412" s="20" t="s">
        <v>1222</v>
      </c>
      <c r="P412" s="20" t="s">
        <v>269</v>
      </c>
      <c r="Q412" s="22" t="s">
        <v>537</v>
      </c>
      <c r="R412" s="6" t="s">
        <v>1223</v>
      </c>
      <c r="S412" s="6" t="s">
        <v>1224</v>
      </c>
    </row>
    <row r="413" ht="45" customHeight="1" spans="1:19" x14ac:dyDescent="0.25">
      <c r="A413" s="20" t="s">
        <v>531</v>
      </c>
      <c r="B413" s="20" t="s">
        <v>532</v>
      </c>
      <c r="C413" s="6" t="s">
        <v>1219</v>
      </c>
      <c r="D413" s="6" t="s">
        <v>1228</v>
      </c>
      <c r="E413" s="20">
        <v>26</v>
      </c>
      <c r="F413" s="20">
        <v>40</v>
      </c>
      <c r="G413" s="20" t="s">
        <v>667</v>
      </c>
      <c r="H413" s="27">
        <v>150</v>
      </c>
      <c r="I413" s="20" t="s">
        <v>668</v>
      </c>
      <c r="J413" s="6"/>
      <c r="K413" s="6"/>
      <c r="L413" s="6" t="s">
        <v>535</v>
      </c>
      <c r="M413" s="6" t="s">
        <v>536</v>
      </c>
      <c r="N413" s="6" t="s">
        <v>534</v>
      </c>
      <c r="O413" s="20" t="s">
        <v>1222</v>
      </c>
      <c r="P413" s="20" t="s">
        <v>269</v>
      </c>
      <c r="Q413" s="22" t="s">
        <v>537</v>
      </c>
      <c r="R413" s="6" t="s">
        <v>1223</v>
      </c>
      <c r="S413" s="6" t="s">
        <v>1224</v>
      </c>
    </row>
    <row r="414" ht="45" customHeight="1" spans="1:19" x14ac:dyDescent="0.25">
      <c r="A414" s="20" t="s">
        <v>531</v>
      </c>
      <c r="B414" s="20" t="s">
        <v>532</v>
      </c>
      <c r="C414" s="6" t="s">
        <v>1219</v>
      </c>
      <c r="D414" s="6" t="s">
        <v>1228</v>
      </c>
      <c r="E414" s="20">
        <v>26</v>
      </c>
      <c r="F414" s="20">
        <v>40</v>
      </c>
      <c r="G414" s="20" t="s">
        <v>674</v>
      </c>
      <c r="H414" s="27">
        <v>1500</v>
      </c>
      <c r="I414" s="20" t="s">
        <v>668</v>
      </c>
      <c r="J414" s="6"/>
      <c r="K414" s="6"/>
      <c r="L414" s="6" t="s">
        <v>535</v>
      </c>
      <c r="M414" s="6" t="s">
        <v>536</v>
      </c>
      <c r="N414" s="6" t="s">
        <v>534</v>
      </c>
      <c r="O414" s="20" t="s">
        <v>1222</v>
      </c>
      <c r="P414" s="20" t="s">
        <v>269</v>
      </c>
      <c r="Q414" s="22" t="s">
        <v>537</v>
      </c>
      <c r="R414" s="6" t="s">
        <v>1223</v>
      </c>
      <c r="S414" s="6" t="s">
        <v>1224</v>
      </c>
    </row>
    <row r="415" ht="45" customHeight="1" spans="1:19" x14ac:dyDescent="0.25">
      <c r="A415" s="20" t="s">
        <v>531</v>
      </c>
      <c r="B415" s="20" t="s">
        <v>532</v>
      </c>
      <c r="C415" s="6" t="s">
        <v>1219</v>
      </c>
      <c r="D415" s="6" t="s">
        <v>1228</v>
      </c>
      <c r="E415" s="20">
        <v>26</v>
      </c>
      <c r="F415" s="20">
        <v>40</v>
      </c>
      <c r="G415" s="20" t="s">
        <v>735</v>
      </c>
      <c r="H415" s="27">
        <v>6000</v>
      </c>
      <c r="I415" s="20" t="s">
        <v>668</v>
      </c>
      <c r="J415" s="6"/>
      <c r="K415" s="6"/>
      <c r="L415" s="6" t="s">
        <v>535</v>
      </c>
      <c r="M415" s="6" t="s">
        <v>536</v>
      </c>
      <c r="N415" s="6" t="s">
        <v>534</v>
      </c>
      <c r="O415" s="20" t="s">
        <v>1222</v>
      </c>
      <c r="P415" s="20" t="s">
        <v>269</v>
      </c>
      <c r="Q415" s="22" t="s">
        <v>537</v>
      </c>
      <c r="R415" s="6" t="s">
        <v>1223</v>
      </c>
      <c r="S415" s="6" t="s">
        <v>1224</v>
      </c>
    </row>
    <row r="416" ht="45" customHeight="1" spans="1:19" x14ac:dyDescent="0.25">
      <c r="A416" s="20" t="s">
        <v>531</v>
      </c>
      <c r="B416" s="20" t="s">
        <v>532</v>
      </c>
      <c r="C416" s="6" t="s">
        <v>1219</v>
      </c>
      <c r="D416" s="6" t="s">
        <v>1229</v>
      </c>
      <c r="E416" s="20">
        <v>40</v>
      </c>
      <c r="F416" s="20"/>
      <c r="G416" s="20" t="s">
        <v>667</v>
      </c>
      <c r="H416" s="27">
        <v>250</v>
      </c>
      <c r="I416" s="20" t="s">
        <v>668</v>
      </c>
      <c r="J416" s="6"/>
      <c r="K416" s="6"/>
      <c r="L416" s="6" t="s">
        <v>535</v>
      </c>
      <c r="M416" s="6" t="s">
        <v>536</v>
      </c>
      <c r="N416" s="6" t="s">
        <v>534</v>
      </c>
      <c r="O416" s="20" t="s">
        <v>1222</v>
      </c>
      <c r="P416" s="20" t="s">
        <v>269</v>
      </c>
      <c r="Q416" s="22" t="s">
        <v>537</v>
      </c>
      <c r="R416" s="6" t="s">
        <v>1223</v>
      </c>
      <c r="S416" s="6" t="s">
        <v>1224</v>
      </c>
    </row>
    <row r="417" ht="45" customHeight="1" spans="1:19" x14ac:dyDescent="0.25">
      <c r="A417" s="20" t="s">
        <v>531</v>
      </c>
      <c r="B417" s="20" t="s">
        <v>532</v>
      </c>
      <c r="C417" s="6" t="s">
        <v>1219</v>
      </c>
      <c r="D417" s="6" t="s">
        <v>1229</v>
      </c>
      <c r="E417" s="20">
        <v>40</v>
      </c>
      <c r="F417" s="20"/>
      <c r="G417" s="20" t="s">
        <v>674</v>
      </c>
      <c r="H417" s="27">
        <v>2500</v>
      </c>
      <c r="I417" s="20" t="s">
        <v>668</v>
      </c>
      <c r="J417" s="6"/>
      <c r="K417" s="6"/>
      <c r="L417" s="6" t="s">
        <v>535</v>
      </c>
      <c r="M417" s="6" t="s">
        <v>536</v>
      </c>
      <c r="N417" s="6" t="s">
        <v>534</v>
      </c>
      <c r="O417" s="20" t="s">
        <v>1222</v>
      </c>
      <c r="P417" s="20" t="s">
        <v>269</v>
      </c>
      <c r="Q417" s="22" t="s">
        <v>537</v>
      </c>
      <c r="R417" s="6" t="s">
        <v>1223</v>
      </c>
      <c r="S417" s="6" t="s">
        <v>1224</v>
      </c>
    </row>
    <row r="418" ht="45" customHeight="1" spans="1:19" x14ac:dyDescent="0.25">
      <c r="A418" s="20" t="s">
        <v>531</v>
      </c>
      <c r="B418" s="20" t="s">
        <v>532</v>
      </c>
      <c r="C418" s="6" t="s">
        <v>1219</v>
      </c>
      <c r="D418" s="6" t="s">
        <v>1229</v>
      </c>
      <c r="E418" s="20">
        <v>40</v>
      </c>
      <c r="F418" s="20"/>
      <c r="G418" s="20" t="s">
        <v>735</v>
      </c>
      <c r="H418" s="27">
        <v>12000</v>
      </c>
      <c r="I418" s="20" t="s">
        <v>668</v>
      </c>
      <c r="J418" s="6"/>
      <c r="K418" s="6"/>
      <c r="L418" s="6" t="s">
        <v>535</v>
      </c>
      <c r="M418" s="6" t="s">
        <v>536</v>
      </c>
      <c r="N418" s="6" t="s">
        <v>534</v>
      </c>
      <c r="O418" s="20" t="s">
        <v>1222</v>
      </c>
      <c r="P418" s="20" t="s">
        <v>269</v>
      </c>
      <c r="Q418" s="22" t="s">
        <v>537</v>
      </c>
      <c r="R418" s="6" t="s">
        <v>1223</v>
      </c>
      <c r="S418" s="6" t="s">
        <v>1224</v>
      </c>
    </row>
    <row r="419" ht="45" customHeight="1" spans="1:19" x14ac:dyDescent="0.25">
      <c r="A419" s="20" t="s">
        <v>538</v>
      </c>
      <c r="B419" s="20" t="s">
        <v>539</v>
      </c>
      <c r="C419" s="6"/>
      <c r="D419" s="6"/>
      <c r="E419" s="20"/>
      <c r="F419" s="20"/>
      <c r="G419" s="20" t="s">
        <v>463</v>
      </c>
      <c r="H419" s="27"/>
      <c r="I419" s="20" t="s">
        <v>668</v>
      </c>
      <c r="J419" s="6"/>
      <c r="K419" s="6"/>
      <c r="L419" s="6"/>
      <c r="M419" s="6" t="s">
        <v>540</v>
      </c>
      <c r="N419" s="6" t="s">
        <v>463</v>
      </c>
      <c r="O419" s="20" t="s">
        <v>787</v>
      </c>
      <c r="P419" s="20" t="s">
        <v>297</v>
      </c>
      <c r="Q419" s="22" t="s">
        <v>541</v>
      </c>
      <c r="R419" s="6" t="s">
        <v>1230</v>
      </c>
      <c r="S419" s="6" t="s">
        <v>463</v>
      </c>
    </row>
    <row r="420" ht="45" customHeight="1" spans="1:19" x14ac:dyDescent="0.25">
      <c r="A420" s="20" t="s">
        <v>542</v>
      </c>
      <c r="B420" s="20" t="s">
        <v>542</v>
      </c>
      <c r="C420" s="6" t="s">
        <v>1231</v>
      </c>
      <c r="D420" s="6" t="s">
        <v>1232</v>
      </c>
      <c r="E420" s="20">
        <v>3.5</v>
      </c>
      <c r="F420" s="20">
        <v>12</v>
      </c>
      <c r="G420" s="20" t="s">
        <v>667</v>
      </c>
      <c r="H420" s="27">
        <v>43</v>
      </c>
      <c r="I420" s="20" t="s">
        <v>668</v>
      </c>
      <c r="J420" s="6"/>
      <c r="K420" s="6" t="s">
        <v>1233</v>
      </c>
      <c r="L420" s="6" t="s">
        <v>545</v>
      </c>
      <c r="M420" s="6" t="s">
        <v>546</v>
      </c>
      <c r="N420" s="6" t="s">
        <v>544</v>
      </c>
      <c r="O420" s="20" t="s">
        <v>1234</v>
      </c>
      <c r="P420" s="20" t="s">
        <v>269</v>
      </c>
      <c r="Q420" s="22" t="s">
        <v>548</v>
      </c>
      <c r="R420" s="6" t="s">
        <v>1235</v>
      </c>
      <c r="S420" s="6" t="s">
        <v>1236</v>
      </c>
    </row>
    <row r="421" ht="45" customHeight="1" spans="1:19" x14ac:dyDescent="0.25">
      <c r="A421" s="20" t="s">
        <v>542</v>
      </c>
      <c r="B421" s="20" t="s">
        <v>542</v>
      </c>
      <c r="C421" s="6" t="s">
        <v>1231</v>
      </c>
      <c r="D421" s="6" t="s">
        <v>1237</v>
      </c>
      <c r="E421" s="20">
        <v>12</v>
      </c>
      <c r="F421" s="20">
        <v>20</v>
      </c>
      <c r="G421" s="20" t="s">
        <v>667</v>
      </c>
      <c r="H421" s="27">
        <v>71</v>
      </c>
      <c r="I421" s="20" t="s">
        <v>668</v>
      </c>
      <c r="J421" s="6"/>
      <c r="K421" s="6" t="s">
        <v>1233</v>
      </c>
      <c r="L421" s="6" t="s">
        <v>545</v>
      </c>
      <c r="M421" s="6" t="s">
        <v>546</v>
      </c>
      <c r="N421" s="6" t="s">
        <v>544</v>
      </c>
      <c r="O421" s="20" t="s">
        <v>1234</v>
      </c>
      <c r="P421" s="20" t="s">
        <v>269</v>
      </c>
      <c r="Q421" s="22" t="s">
        <v>548</v>
      </c>
      <c r="R421" s="6" t="s">
        <v>1235</v>
      </c>
      <c r="S421" s="6" t="s">
        <v>1236</v>
      </c>
    </row>
    <row r="422" ht="45" customHeight="1" spans="1:19" x14ac:dyDescent="0.25">
      <c r="A422" s="20" t="s">
        <v>542</v>
      </c>
      <c r="B422" s="20" t="s">
        <v>542</v>
      </c>
      <c r="C422" s="6" t="s">
        <v>1231</v>
      </c>
      <c r="D422" s="6" t="s">
        <v>1238</v>
      </c>
      <c r="E422" s="20">
        <v>20</v>
      </c>
      <c r="F422" s="20">
        <v>35</v>
      </c>
      <c r="G422" s="20" t="s">
        <v>667</v>
      </c>
      <c r="H422" s="27">
        <v>140</v>
      </c>
      <c r="I422" s="20" t="s">
        <v>668</v>
      </c>
      <c r="J422" s="6"/>
      <c r="K422" s="6" t="s">
        <v>1233</v>
      </c>
      <c r="L422" s="6" t="s">
        <v>545</v>
      </c>
      <c r="M422" s="6" t="s">
        <v>546</v>
      </c>
      <c r="N422" s="6" t="s">
        <v>544</v>
      </c>
      <c r="O422" s="20" t="s">
        <v>1234</v>
      </c>
      <c r="P422" s="20" t="s">
        <v>269</v>
      </c>
      <c r="Q422" s="22" t="s">
        <v>548</v>
      </c>
      <c r="R422" s="6" t="s">
        <v>1235</v>
      </c>
      <c r="S422" s="6" t="s">
        <v>1236</v>
      </c>
    </row>
    <row r="423" ht="45" customHeight="1" spans="1:19" x14ac:dyDescent="0.25">
      <c r="A423" s="20" t="s">
        <v>542</v>
      </c>
      <c r="B423" s="20" t="s">
        <v>542</v>
      </c>
      <c r="C423" s="6" t="s">
        <v>1239</v>
      </c>
      <c r="D423" s="6" t="s">
        <v>1094</v>
      </c>
      <c r="E423" s="20">
        <v>35</v>
      </c>
      <c r="F423" s="20"/>
      <c r="G423" s="20" t="s">
        <v>667</v>
      </c>
      <c r="H423" s="27">
        <v>299</v>
      </c>
      <c r="I423" s="20" t="s">
        <v>668</v>
      </c>
      <c r="J423" s="6"/>
      <c r="K423" s="6"/>
      <c r="L423" s="6" t="s">
        <v>545</v>
      </c>
      <c r="M423" s="6" t="s">
        <v>546</v>
      </c>
      <c r="N423" s="6" t="s">
        <v>544</v>
      </c>
      <c r="O423" s="20" t="s">
        <v>1240</v>
      </c>
      <c r="P423" s="20" t="s">
        <v>269</v>
      </c>
      <c r="Q423" s="22" t="s">
        <v>1241</v>
      </c>
      <c r="R423" s="6" t="s">
        <v>1242</v>
      </c>
      <c r="S423" s="6" t="s">
        <v>1236</v>
      </c>
    </row>
    <row r="424" ht="45" customHeight="1" spans="1:19" x14ac:dyDescent="0.25">
      <c r="A424" s="20" t="s">
        <v>542</v>
      </c>
      <c r="B424" s="20" t="s">
        <v>542</v>
      </c>
      <c r="C424" s="6" t="s">
        <v>1243</v>
      </c>
      <c r="D424" s="6" t="s">
        <v>1244</v>
      </c>
      <c r="E424" s="20">
        <v>3.5</v>
      </c>
      <c r="F424" s="20">
        <v>12</v>
      </c>
      <c r="G424" s="20" t="s">
        <v>927</v>
      </c>
      <c r="H424" s="27">
        <v>315</v>
      </c>
      <c r="I424" s="20" t="s">
        <v>668</v>
      </c>
      <c r="J424" s="6" t="s">
        <v>1245</v>
      </c>
      <c r="K424" s="6" t="s">
        <v>1246</v>
      </c>
      <c r="L424" s="6" t="s">
        <v>1247</v>
      </c>
      <c r="M424" s="6" t="s">
        <v>546</v>
      </c>
      <c r="N424" s="6" t="s">
        <v>1248</v>
      </c>
      <c r="O424" s="20" t="s">
        <v>1249</v>
      </c>
      <c r="P424" s="20" t="s">
        <v>297</v>
      </c>
      <c r="Q424" s="22" t="s">
        <v>1250</v>
      </c>
      <c r="R424" s="6" t="s">
        <v>1251</v>
      </c>
      <c r="S424" s="6" t="s">
        <v>1252</v>
      </c>
    </row>
    <row r="425" ht="45" customHeight="1" spans="1:19" x14ac:dyDescent="0.25">
      <c r="A425" s="20" t="s">
        <v>542</v>
      </c>
      <c r="B425" s="20" t="s">
        <v>542</v>
      </c>
      <c r="C425" s="6" t="s">
        <v>1243</v>
      </c>
      <c r="D425" s="6" t="s">
        <v>1244</v>
      </c>
      <c r="E425" s="20">
        <v>3.5</v>
      </c>
      <c r="F425" s="20">
        <v>12</v>
      </c>
      <c r="G425" s="20" t="s">
        <v>674</v>
      </c>
      <c r="H425" s="27">
        <v>1350</v>
      </c>
      <c r="I425" s="20" t="s">
        <v>668</v>
      </c>
      <c r="J425" s="6" t="s">
        <v>1245</v>
      </c>
      <c r="K425" s="6" t="s">
        <v>1246</v>
      </c>
      <c r="L425" s="6" t="s">
        <v>1247</v>
      </c>
      <c r="M425" s="6" t="s">
        <v>546</v>
      </c>
      <c r="N425" s="6" t="s">
        <v>1248</v>
      </c>
      <c r="O425" s="20" t="s">
        <v>1249</v>
      </c>
      <c r="P425" s="20" t="s">
        <v>297</v>
      </c>
      <c r="Q425" s="22" t="s">
        <v>1250</v>
      </c>
      <c r="R425" s="6" t="s">
        <v>1251</v>
      </c>
      <c r="S425" s="6" t="s">
        <v>1252</v>
      </c>
    </row>
    <row r="426" ht="45" customHeight="1" spans="1:19" x14ac:dyDescent="0.25">
      <c r="A426" s="20" t="s">
        <v>542</v>
      </c>
      <c r="B426" s="20" t="s">
        <v>542</v>
      </c>
      <c r="C426" s="6" t="s">
        <v>1243</v>
      </c>
      <c r="D426" s="6" t="s">
        <v>1244</v>
      </c>
      <c r="E426" s="20">
        <v>3.5</v>
      </c>
      <c r="F426" s="20">
        <v>12</v>
      </c>
      <c r="G426" s="20" t="s">
        <v>735</v>
      </c>
      <c r="H426" s="27">
        <v>16200</v>
      </c>
      <c r="I426" s="20" t="s">
        <v>668</v>
      </c>
      <c r="J426" s="6" t="s">
        <v>1245</v>
      </c>
      <c r="K426" s="6" t="s">
        <v>1246</v>
      </c>
      <c r="L426" s="6" t="s">
        <v>1247</v>
      </c>
      <c r="M426" s="6" t="s">
        <v>546</v>
      </c>
      <c r="N426" s="6" t="s">
        <v>1248</v>
      </c>
      <c r="O426" s="20" t="s">
        <v>1249</v>
      </c>
      <c r="P426" s="20" t="s">
        <v>297</v>
      </c>
      <c r="Q426" s="22" t="s">
        <v>1250</v>
      </c>
      <c r="R426" s="6" t="s">
        <v>1251</v>
      </c>
      <c r="S426" s="6" t="s">
        <v>1252</v>
      </c>
    </row>
    <row r="427" ht="45" customHeight="1" spans="1:19" x14ac:dyDescent="0.25">
      <c r="A427" s="20" t="s">
        <v>542</v>
      </c>
      <c r="B427" s="20" t="s">
        <v>542</v>
      </c>
      <c r="C427" s="6" t="s">
        <v>1243</v>
      </c>
      <c r="D427" s="6" t="s">
        <v>1253</v>
      </c>
      <c r="E427" s="20">
        <v>12</v>
      </c>
      <c r="F427" s="20">
        <v>24</v>
      </c>
      <c r="G427" s="20" t="s">
        <v>927</v>
      </c>
      <c r="H427" s="27">
        <v>1050</v>
      </c>
      <c r="I427" s="20" t="s">
        <v>668</v>
      </c>
      <c r="J427" s="6" t="s">
        <v>1245</v>
      </c>
      <c r="K427" s="6" t="s">
        <v>1246</v>
      </c>
      <c r="L427" s="6" t="s">
        <v>1247</v>
      </c>
      <c r="M427" s="6" t="s">
        <v>546</v>
      </c>
      <c r="N427" s="6" t="s">
        <v>1248</v>
      </c>
      <c r="O427" s="20" t="s">
        <v>1249</v>
      </c>
      <c r="P427" s="20" t="s">
        <v>297</v>
      </c>
      <c r="Q427" s="22" t="s">
        <v>1250</v>
      </c>
      <c r="R427" s="6" t="s">
        <v>1251</v>
      </c>
      <c r="S427" s="6" t="s">
        <v>1252</v>
      </c>
    </row>
    <row r="428" ht="45" customHeight="1" spans="1:19" x14ac:dyDescent="0.25">
      <c r="A428" s="20" t="s">
        <v>542</v>
      </c>
      <c r="B428" s="20" t="s">
        <v>542</v>
      </c>
      <c r="C428" s="6" t="s">
        <v>1243</v>
      </c>
      <c r="D428" s="6" t="s">
        <v>1253</v>
      </c>
      <c r="E428" s="20">
        <v>12</v>
      </c>
      <c r="F428" s="20">
        <v>24</v>
      </c>
      <c r="G428" s="20" t="s">
        <v>674</v>
      </c>
      <c r="H428" s="27">
        <v>4500</v>
      </c>
      <c r="I428" s="20" t="s">
        <v>668</v>
      </c>
      <c r="J428" s="6" t="s">
        <v>1245</v>
      </c>
      <c r="K428" s="6" t="s">
        <v>1246</v>
      </c>
      <c r="L428" s="6" t="s">
        <v>1247</v>
      </c>
      <c r="M428" s="6" t="s">
        <v>546</v>
      </c>
      <c r="N428" s="6" t="s">
        <v>1248</v>
      </c>
      <c r="O428" s="20" t="s">
        <v>1249</v>
      </c>
      <c r="P428" s="20" t="s">
        <v>297</v>
      </c>
      <c r="Q428" s="22" t="s">
        <v>1250</v>
      </c>
      <c r="R428" s="6" t="s">
        <v>1251</v>
      </c>
      <c r="S428" s="6" t="s">
        <v>1252</v>
      </c>
    </row>
    <row r="429" ht="45" customHeight="1" spans="1:19" x14ac:dyDescent="0.25">
      <c r="A429" s="20" t="s">
        <v>542</v>
      </c>
      <c r="B429" s="20" t="s">
        <v>542</v>
      </c>
      <c r="C429" s="6" t="s">
        <v>1243</v>
      </c>
      <c r="D429" s="6" t="s">
        <v>1253</v>
      </c>
      <c r="E429" s="20">
        <v>12</v>
      </c>
      <c r="F429" s="20">
        <v>24</v>
      </c>
      <c r="G429" s="20" t="s">
        <v>735</v>
      </c>
      <c r="H429" s="27">
        <v>54000</v>
      </c>
      <c r="I429" s="20" t="s">
        <v>668</v>
      </c>
      <c r="J429" s="6" t="s">
        <v>1245</v>
      </c>
      <c r="K429" s="6" t="s">
        <v>1246</v>
      </c>
      <c r="L429" s="6" t="s">
        <v>1247</v>
      </c>
      <c r="M429" s="6" t="s">
        <v>546</v>
      </c>
      <c r="N429" s="6" t="s">
        <v>1248</v>
      </c>
      <c r="O429" s="20" t="s">
        <v>1249</v>
      </c>
      <c r="P429" s="20" t="s">
        <v>297</v>
      </c>
      <c r="Q429" s="22" t="s">
        <v>1250</v>
      </c>
      <c r="R429" s="6" t="s">
        <v>1251</v>
      </c>
      <c r="S429" s="6" t="s">
        <v>1252</v>
      </c>
    </row>
    <row r="430" ht="45" customHeight="1" spans="1:19" x14ac:dyDescent="0.25">
      <c r="A430" s="20" t="s">
        <v>542</v>
      </c>
      <c r="B430" s="20" t="s">
        <v>542</v>
      </c>
      <c r="C430" s="6" t="s">
        <v>1243</v>
      </c>
      <c r="D430" s="6" t="s">
        <v>1254</v>
      </c>
      <c r="E430" s="20">
        <v>24</v>
      </c>
      <c r="F430" s="20">
        <v>40</v>
      </c>
      <c r="G430" s="20" t="s">
        <v>927</v>
      </c>
      <c r="H430" s="27">
        <v>2100</v>
      </c>
      <c r="I430" s="20" t="s">
        <v>668</v>
      </c>
      <c r="J430" s="6" t="s">
        <v>1245</v>
      </c>
      <c r="K430" s="6" t="s">
        <v>1246</v>
      </c>
      <c r="L430" s="6" t="s">
        <v>1247</v>
      </c>
      <c r="M430" s="6" t="s">
        <v>546</v>
      </c>
      <c r="N430" s="6" t="s">
        <v>1248</v>
      </c>
      <c r="O430" s="20" t="s">
        <v>1249</v>
      </c>
      <c r="P430" s="20" t="s">
        <v>297</v>
      </c>
      <c r="Q430" s="22" t="s">
        <v>1250</v>
      </c>
      <c r="R430" s="6" t="s">
        <v>1251</v>
      </c>
      <c r="S430" s="6" t="s">
        <v>1252</v>
      </c>
    </row>
    <row r="431" ht="45" customHeight="1" spans="1:19" x14ac:dyDescent="0.25">
      <c r="A431" s="20" t="s">
        <v>542</v>
      </c>
      <c r="B431" s="20" t="s">
        <v>542</v>
      </c>
      <c r="C431" s="6" t="s">
        <v>1243</v>
      </c>
      <c r="D431" s="6" t="s">
        <v>1254</v>
      </c>
      <c r="E431" s="20">
        <v>24</v>
      </c>
      <c r="F431" s="20">
        <v>40</v>
      </c>
      <c r="G431" s="20" t="s">
        <v>674</v>
      </c>
      <c r="H431" s="27">
        <v>9000</v>
      </c>
      <c r="I431" s="20" t="s">
        <v>668</v>
      </c>
      <c r="J431" s="6" t="s">
        <v>1245</v>
      </c>
      <c r="K431" s="6" t="s">
        <v>1246</v>
      </c>
      <c r="L431" s="6" t="s">
        <v>1247</v>
      </c>
      <c r="M431" s="6" t="s">
        <v>546</v>
      </c>
      <c r="N431" s="6" t="s">
        <v>1248</v>
      </c>
      <c r="O431" s="20" t="s">
        <v>1249</v>
      </c>
      <c r="P431" s="20" t="s">
        <v>297</v>
      </c>
      <c r="Q431" s="22" t="s">
        <v>1250</v>
      </c>
      <c r="R431" s="6" t="s">
        <v>1251</v>
      </c>
      <c r="S431" s="6" t="s">
        <v>1252</v>
      </c>
    </row>
    <row r="432" ht="45" customHeight="1" spans="1:19" x14ac:dyDescent="0.25">
      <c r="A432" s="20" t="s">
        <v>542</v>
      </c>
      <c r="B432" s="20" t="s">
        <v>542</v>
      </c>
      <c r="C432" s="6" t="s">
        <v>1243</v>
      </c>
      <c r="D432" s="6" t="s">
        <v>1254</v>
      </c>
      <c r="E432" s="20">
        <v>24</v>
      </c>
      <c r="F432" s="20">
        <v>40</v>
      </c>
      <c r="G432" s="20" t="s">
        <v>735</v>
      </c>
      <c r="H432" s="27">
        <v>108000</v>
      </c>
      <c r="I432" s="20" t="s">
        <v>668</v>
      </c>
      <c r="J432" s="6" t="s">
        <v>1245</v>
      </c>
      <c r="K432" s="6" t="s">
        <v>1246</v>
      </c>
      <c r="L432" s="6" t="s">
        <v>1247</v>
      </c>
      <c r="M432" s="6" t="s">
        <v>546</v>
      </c>
      <c r="N432" s="6" t="s">
        <v>1248</v>
      </c>
      <c r="O432" s="20" t="s">
        <v>1249</v>
      </c>
      <c r="P432" s="20" t="s">
        <v>297</v>
      </c>
      <c r="Q432" s="22" t="s">
        <v>1250</v>
      </c>
      <c r="R432" s="6" t="s">
        <v>1251</v>
      </c>
      <c r="S432" s="6" t="s">
        <v>1252</v>
      </c>
    </row>
    <row r="433" ht="45" customHeight="1" spans="1:19" x14ac:dyDescent="0.25">
      <c r="A433" s="20" t="s">
        <v>549</v>
      </c>
      <c r="B433" s="20" t="s">
        <v>550</v>
      </c>
      <c r="C433" s="6" t="s">
        <v>1255</v>
      </c>
      <c r="D433" s="6" t="s">
        <v>1256</v>
      </c>
      <c r="E433" s="20">
        <v>4.5</v>
      </c>
      <c r="F433" s="20">
        <v>7.5</v>
      </c>
      <c r="G433" s="20" t="s">
        <v>667</v>
      </c>
      <c r="H433" s="27">
        <v>50</v>
      </c>
      <c r="I433" s="20" t="s">
        <v>668</v>
      </c>
      <c r="J433" s="6" t="s">
        <v>1257</v>
      </c>
      <c r="K433" s="6" t="s">
        <v>1258</v>
      </c>
      <c r="L433" s="6" t="s">
        <v>553</v>
      </c>
      <c r="M433" s="6" t="s">
        <v>554</v>
      </c>
      <c r="N433" s="6" t="s">
        <v>552</v>
      </c>
      <c r="O433" s="20" t="s">
        <v>1259</v>
      </c>
      <c r="P433" s="20" t="s">
        <v>269</v>
      </c>
      <c r="Q433" s="22" t="s">
        <v>555</v>
      </c>
      <c r="R433" s="6" t="s">
        <v>1260</v>
      </c>
      <c r="S433" s="6" t="s">
        <v>1261</v>
      </c>
    </row>
    <row r="434" ht="45" customHeight="1" spans="1:19" x14ac:dyDescent="0.25">
      <c r="A434" s="20" t="s">
        <v>549</v>
      </c>
      <c r="B434" s="20" t="s">
        <v>550</v>
      </c>
      <c r="C434" s="6" t="s">
        <v>1255</v>
      </c>
      <c r="D434" s="6" t="s">
        <v>1256</v>
      </c>
      <c r="E434" s="20">
        <v>4.5</v>
      </c>
      <c r="F434" s="20">
        <v>7.5</v>
      </c>
      <c r="G434" s="20" t="s">
        <v>674</v>
      </c>
      <c r="H434" s="27">
        <v>350</v>
      </c>
      <c r="I434" s="20" t="s">
        <v>668</v>
      </c>
      <c r="J434" s="6" t="s">
        <v>1257</v>
      </c>
      <c r="K434" s="6" t="s">
        <v>1258</v>
      </c>
      <c r="L434" s="6" t="s">
        <v>553</v>
      </c>
      <c r="M434" s="6" t="s">
        <v>554</v>
      </c>
      <c r="N434" s="6" t="s">
        <v>552</v>
      </c>
      <c r="O434" s="20" t="s">
        <v>1259</v>
      </c>
      <c r="P434" s="20" t="s">
        <v>269</v>
      </c>
      <c r="Q434" s="22" t="s">
        <v>555</v>
      </c>
      <c r="R434" s="6" t="s">
        <v>1260</v>
      </c>
      <c r="S434" s="6" t="s">
        <v>1261</v>
      </c>
    </row>
    <row r="435" ht="45" customHeight="1" spans="1:19" x14ac:dyDescent="0.25">
      <c r="A435" s="20" t="s">
        <v>549</v>
      </c>
      <c r="B435" s="20" t="s">
        <v>550</v>
      </c>
      <c r="C435" s="6" t="s">
        <v>1255</v>
      </c>
      <c r="D435" s="6" t="s">
        <v>1256</v>
      </c>
      <c r="E435" s="20">
        <v>4.5</v>
      </c>
      <c r="F435" s="20">
        <v>7.5</v>
      </c>
      <c r="G435" s="20" t="s">
        <v>735</v>
      </c>
      <c r="H435" s="27">
        <v>3200</v>
      </c>
      <c r="I435" s="20" t="s">
        <v>668</v>
      </c>
      <c r="J435" s="6" t="s">
        <v>1257</v>
      </c>
      <c r="K435" s="6" t="s">
        <v>1258</v>
      </c>
      <c r="L435" s="6" t="s">
        <v>553</v>
      </c>
      <c r="M435" s="6" t="s">
        <v>554</v>
      </c>
      <c r="N435" s="6" t="s">
        <v>552</v>
      </c>
      <c r="O435" s="20" t="s">
        <v>1259</v>
      </c>
      <c r="P435" s="20" t="s">
        <v>269</v>
      </c>
      <c r="Q435" s="22" t="s">
        <v>555</v>
      </c>
      <c r="R435" s="6" t="s">
        <v>1260</v>
      </c>
      <c r="S435" s="6" t="s">
        <v>1261</v>
      </c>
    </row>
    <row r="436" ht="45" customHeight="1" spans="1:19" x14ac:dyDescent="0.25">
      <c r="A436" s="20" t="s">
        <v>549</v>
      </c>
      <c r="B436" s="20" t="s">
        <v>550</v>
      </c>
      <c r="C436" s="6" t="s">
        <v>1255</v>
      </c>
      <c r="D436" s="6" t="s">
        <v>1262</v>
      </c>
      <c r="E436" s="20">
        <v>7.5</v>
      </c>
      <c r="F436" s="20">
        <v>16</v>
      </c>
      <c r="G436" s="20" t="s">
        <v>667</v>
      </c>
      <c r="H436" s="27">
        <v>80</v>
      </c>
      <c r="I436" s="20" t="s">
        <v>668</v>
      </c>
      <c r="J436" s="6" t="s">
        <v>1257</v>
      </c>
      <c r="K436" s="6" t="s">
        <v>1258</v>
      </c>
      <c r="L436" s="6" t="s">
        <v>553</v>
      </c>
      <c r="M436" s="6" t="s">
        <v>554</v>
      </c>
      <c r="N436" s="6" t="s">
        <v>552</v>
      </c>
      <c r="O436" s="20" t="s">
        <v>1259</v>
      </c>
      <c r="P436" s="20" t="s">
        <v>269</v>
      </c>
      <c r="Q436" s="22" t="s">
        <v>555</v>
      </c>
      <c r="R436" s="6" t="s">
        <v>1260</v>
      </c>
      <c r="S436" s="6" t="s">
        <v>1261</v>
      </c>
    </row>
    <row r="437" ht="45" customHeight="1" spans="1:19" x14ac:dyDescent="0.25">
      <c r="A437" s="20" t="s">
        <v>549</v>
      </c>
      <c r="B437" s="20" t="s">
        <v>550</v>
      </c>
      <c r="C437" s="6" t="s">
        <v>1255</v>
      </c>
      <c r="D437" s="6" t="s">
        <v>1262</v>
      </c>
      <c r="E437" s="20">
        <v>7.5</v>
      </c>
      <c r="F437" s="20">
        <v>16</v>
      </c>
      <c r="G437" s="20" t="s">
        <v>674</v>
      </c>
      <c r="H437" s="27">
        <v>600</v>
      </c>
      <c r="I437" s="20" t="s">
        <v>668</v>
      </c>
      <c r="J437" s="6" t="s">
        <v>1257</v>
      </c>
      <c r="K437" s="6" t="s">
        <v>1258</v>
      </c>
      <c r="L437" s="6" t="s">
        <v>553</v>
      </c>
      <c r="M437" s="6" t="s">
        <v>554</v>
      </c>
      <c r="N437" s="6" t="s">
        <v>552</v>
      </c>
      <c r="O437" s="20" t="s">
        <v>1259</v>
      </c>
      <c r="P437" s="20" t="s">
        <v>269</v>
      </c>
      <c r="Q437" s="22" t="s">
        <v>555</v>
      </c>
      <c r="R437" s="6" t="s">
        <v>1260</v>
      </c>
      <c r="S437" s="6" t="s">
        <v>1261</v>
      </c>
    </row>
    <row r="438" ht="45" customHeight="1" spans="1:19" x14ac:dyDescent="0.25">
      <c r="A438" s="20" t="s">
        <v>549</v>
      </c>
      <c r="B438" s="20" t="s">
        <v>550</v>
      </c>
      <c r="C438" s="6" t="s">
        <v>1255</v>
      </c>
      <c r="D438" s="6" t="s">
        <v>1262</v>
      </c>
      <c r="E438" s="20">
        <v>7.5</v>
      </c>
      <c r="F438" s="20">
        <v>16</v>
      </c>
      <c r="G438" s="20" t="s">
        <v>735</v>
      </c>
      <c r="H438" s="27">
        <v>5400</v>
      </c>
      <c r="I438" s="20" t="s">
        <v>668</v>
      </c>
      <c r="J438" s="6" t="s">
        <v>1257</v>
      </c>
      <c r="K438" s="6" t="s">
        <v>1258</v>
      </c>
      <c r="L438" s="6" t="s">
        <v>553</v>
      </c>
      <c r="M438" s="6" t="s">
        <v>554</v>
      </c>
      <c r="N438" s="6" t="s">
        <v>552</v>
      </c>
      <c r="O438" s="20" t="s">
        <v>1259</v>
      </c>
      <c r="P438" s="20" t="s">
        <v>269</v>
      </c>
      <c r="Q438" s="22" t="s">
        <v>555</v>
      </c>
      <c r="R438" s="6" t="s">
        <v>1260</v>
      </c>
      <c r="S438" s="6" t="s">
        <v>1261</v>
      </c>
    </row>
    <row r="439" ht="45" customHeight="1" spans="1:19" x14ac:dyDescent="0.25">
      <c r="A439" s="20" t="s">
        <v>549</v>
      </c>
      <c r="B439" s="20" t="s">
        <v>550</v>
      </c>
      <c r="C439" s="6" t="s">
        <v>1255</v>
      </c>
      <c r="D439" s="6" t="s">
        <v>1263</v>
      </c>
      <c r="E439" s="20">
        <v>16</v>
      </c>
      <c r="F439" s="20">
        <v>40</v>
      </c>
      <c r="G439" s="20" t="s">
        <v>667</v>
      </c>
      <c r="H439" s="27">
        <v>130</v>
      </c>
      <c r="I439" s="20" t="s">
        <v>668</v>
      </c>
      <c r="J439" s="6" t="s">
        <v>1257</v>
      </c>
      <c r="K439" s="6" t="s">
        <v>1258</v>
      </c>
      <c r="L439" s="6" t="s">
        <v>553</v>
      </c>
      <c r="M439" s="6" t="s">
        <v>554</v>
      </c>
      <c r="N439" s="6" t="s">
        <v>552</v>
      </c>
      <c r="O439" s="20" t="s">
        <v>1259</v>
      </c>
      <c r="P439" s="20" t="s">
        <v>269</v>
      </c>
      <c r="Q439" s="22" t="s">
        <v>555</v>
      </c>
      <c r="R439" s="6" t="s">
        <v>1260</v>
      </c>
      <c r="S439" s="6" t="s">
        <v>1261</v>
      </c>
    </row>
    <row r="440" ht="45" customHeight="1" spans="1:19" x14ac:dyDescent="0.25">
      <c r="A440" s="20" t="s">
        <v>549</v>
      </c>
      <c r="B440" s="20" t="s">
        <v>550</v>
      </c>
      <c r="C440" s="6" t="s">
        <v>1255</v>
      </c>
      <c r="D440" s="6" t="s">
        <v>1263</v>
      </c>
      <c r="E440" s="20">
        <v>16</v>
      </c>
      <c r="F440" s="20">
        <v>40</v>
      </c>
      <c r="G440" s="20" t="s">
        <v>674</v>
      </c>
      <c r="H440" s="27">
        <v>1200</v>
      </c>
      <c r="I440" s="20" t="s">
        <v>668</v>
      </c>
      <c r="J440" s="6" t="s">
        <v>1257</v>
      </c>
      <c r="K440" s="6" t="s">
        <v>1258</v>
      </c>
      <c r="L440" s="6" t="s">
        <v>553</v>
      </c>
      <c r="M440" s="6" t="s">
        <v>554</v>
      </c>
      <c r="N440" s="6" t="s">
        <v>552</v>
      </c>
      <c r="O440" s="20" t="s">
        <v>1259</v>
      </c>
      <c r="P440" s="20" t="s">
        <v>269</v>
      </c>
      <c r="Q440" s="22" t="s">
        <v>555</v>
      </c>
      <c r="R440" s="6" t="s">
        <v>1260</v>
      </c>
      <c r="S440" s="6" t="s">
        <v>1261</v>
      </c>
    </row>
    <row r="441" ht="45" customHeight="1" spans="1:19" x14ac:dyDescent="0.25">
      <c r="A441" s="20" t="s">
        <v>549</v>
      </c>
      <c r="B441" s="20" t="s">
        <v>550</v>
      </c>
      <c r="C441" s="6" t="s">
        <v>1255</v>
      </c>
      <c r="D441" s="6" t="s">
        <v>1263</v>
      </c>
      <c r="E441" s="20">
        <v>16</v>
      </c>
      <c r="F441" s="20">
        <v>40</v>
      </c>
      <c r="G441" s="20" t="s">
        <v>735</v>
      </c>
      <c r="H441" s="27">
        <v>11000</v>
      </c>
      <c r="I441" s="20" t="s">
        <v>668</v>
      </c>
      <c r="J441" s="6" t="s">
        <v>1257</v>
      </c>
      <c r="K441" s="6" t="s">
        <v>1258</v>
      </c>
      <c r="L441" s="6" t="s">
        <v>553</v>
      </c>
      <c r="M441" s="6" t="s">
        <v>554</v>
      </c>
      <c r="N441" s="6" t="s">
        <v>552</v>
      </c>
      <c r="O441" s="20" t="s">
        <v>1259</v>
      </c>
      <c r="P441" s="20" t="s">
        <v>269</v>
      </c>
      <c r="Q441" s="22" t="s">
        <v>555</v>
      </c>
      <c r="R441" s="6" t="s">
        <v>1260</v>
      </c>
      <c r="S441" s="6" t="s">
        <v>1261</v>
      </c>
    </row>
    <row r="442" ht="45" customHeight="1" spans="1:19" x14ac:dyDescent="0.25">
      <c r="A442" s="20" t="s">
        <v>549</v>
      </c>
      <c r="B442" s="20" t="s">
        <v>550</v>
      </c>
      <c r="C442" s="6" t="s">
        <v>1255</v>
      </c>
      <c r="D442" s="6" t="s">
        <v>688</v>
      </c>
      <c r="E442" s="20">
        <v>40</v>
      </c>
      <c r="F442" s="20"/>
      <c r="G442" s="20" t="s">
        <v>667</v>
      </c>
      <c r="H442" s="27">
        <v>180</v>
      </c>
      <c r="I442" s="20" t="s">
        <v>668</v>
      </c>
      <c r="J442" s="6" t="s">
        <v>1257</v>
      </c>
      <c r="K442" s="6" t="s">
        <v>1258</v>
      </c>
      <c r="L442" s="6" t="s">
        <v>553</v>
      </c>
      <c r="M442" s="6" t="s">
        <v>554</v>
      </c>
      <c r="N442" s="6" t="s">
        <v>552</v>
      </c>
      <c r="O442" s="20" t="s">
        <v>1259</v>
      </c>
      <c r="P442" s="20" t="s">
        <v>269</v>
      </c>
      <c r="Q442" s="22" t="s">
        <v>555</v>
      </c>
      <c r="R442" s="6" t="s">
        <v>1260</v>
      </c>
      <c r="S442" s="6" t="s">
        <v>1261</v>
      </c>
    </row>
    <row r="443" ht="45" customHeight="1" spans="1:19" x14ac:dyDescent="0.25">
      <c r="A443" s="20" t="s">
        <v>549</v>
      </c>
      <c r="B443" s="20" t="s">
        <v>550</v>
      </c>
      <c r="C443" s="6" t="s">
        <v>1255</v>
      </c>
      <c r="D443" s="6" t="s">
        <v>688</v>
      </c>
      <c r="E443" s="20">
        <v>40</v>
      </c>
      <c r="F443" s="20"/>
      <c r="G443" s="20" t="s">
        <v>674</v>
      </c>
      <c r="H443" s="27">
        <v>1800</v>
      </c>
      <c r="I443" s="20" t="s">
        <v>668</v>
      </c>
      <c r="J443" s="6" t="s">
        <v>1257</v>
      </c>
      <c r="K443" s="6" t="s">
        <v>1258</v>
      </c>
      <c r="L443" s="6" t="s">
        <v>553</v>
      </c>
      <c r="M443" s="6" t="s">
        <v>554</v>
      </c>
      <c r="N443" s="6" t="s">
        <v>552</v>
      </c>
      <c r="O443" s="20" t="s">
        <v>1259</v>
      </c>
      <c r="P443" s="20" t="s">
        <v>269</v>
      </c>
      <c r="Q443" s="22" t="s">
        <v>555</v>
      </c>
      <c r="R443" s="6" t="s">
        <v>1260</v>
      </c>
      <c r="S443" s="6" t="s">
        <v>1261</v>
      </c>
    </row>
    <row r="444" ht="45" customHeight="1" spans="1:19" x14ac:dyDescent="0.25">
      <c r="A444" s="20" t="s">
        <v>549</v>
      </c>
      <c r="B444" s="20" t="s">
        <v>550</v>
      </c>
      <c r="C444" s="6" t="s">
        <v>1255</v>
      </c>
      <c r="D444" s="6" t="s">
        <v>688</v>
      </c>
      <c r="E444" s="20">
        <v>40</v>
      </c>
      <c r="F444" s="20"/>
      <c r="G444" s="20" t="s">
        <v>735</v>
      </c>
      <c r="H444" s="27">
        <v>16000</v>
      </c>
      <c r="I444" s="20" t="s">
        <v>668</v>
      </c>
      <c r="J444" s="6" t="s">
        <v>1257</v>
      </c>
      <c r="K444" s="6" t="s">
        <v>1258</v>
      </c>
      <c r="L444" s="6" t="s">
        <v>553</v>
      </c>
      <c r="M444" s="6" t="s">
        <v>554</v>
      </c>
      <c r="N444" s="6" t="s">
        <v>552</v>
      </c>
      <c r="O444" s="20" t="s">
        <v>1259</v>
      </c>
      <c r="P444" s="20" t="s">
        <v>269</v>
      </c>
      <c r="Q444" s="22" t="s">
        <v>555</v>
      </c>
      <c r="R444" s="6" t="s">
        <v>1260</v>
      </c>
      <c r="S444" s="6" t="s">
        <v>1261</v>
      </c>
    </row>
    <row r="445" ht="45" customHeight="1" spans="1:19" x14ac:dyDescent="0.25">
      <c r="A445" s="20" t="s">
        <v>549</v>
      </c>
      <c r="B445" s="20" t="s">
        <v>550</v>
      </c>
      <c r="C445" s="6" t="s">
        <v>1264</v>
      </c>
      <c r="D445" s="6" t="s">
        <v>1262</v>
      </c>
      <c r="E445" s="20">
        <v>7.5</v>
      </c>
      <c r="F445" s="20">
        <v>16</v>
      </c>
      <c r="G445" s="20" t="s">
        <v>667</v>
      </c>
      <c r="H445" s="27">
        <v>60</v>
      </c>
      <c r="I445" s="20" t="s">
        <v>668</v>
      </c>
      <c r="J445" s="6" t="s">
        <v>1257</v>
      </c>
      <c r="K445" s="6" t="s">
        <v>1265</v>
      </c>
      <c r="L445" s="6" t="s">
        <v>553</v>
      </c>
      <c r="M445" s="6" t="s">
        <v>554</v>
      </c>
      <c r="N445" s="6" t="s">
        <v>552</v>
      </c>
      <c r="O445" s="20" t="s">
        <v>1259</v>
      </c>
      <c r="P445" s="20" t="s">
        <v>269</v>
      </c>
      <c r="Q445" s="22" t="s">
        <v>555</v>
      </c>
      <c r="R445" s="6" t="s">
        <v>1260</v>
      </c>
      <c r="S445" s="6" t="s">
        <v>1266</v>
      </c>
    </row>
    <row r="446" ht="45" customHeight="1" spans="1:19" x14ac:dyDescent="0.25">
      <c r="A446" s="20" t="s">
        <v>549</v>
      </c>
      <c r="B446" s="20" t="s">
        <v>550</v>
      </c>
      <c r="C446" s="6" t="s">
        <v>1264</v>
      </c>
      <c r="D446" s="6" t="s">
        <v>1262</v>
      </c>
      <c r="E446" s="20">
        <v>7.5</v>
      </c>
      <c r="F446" s="20">
        <v>16</v>
      </c>
      <c r="G446" s="20" t="s">
        <v>674</v>
      </c>
      <c r="H446" s="27">
        <v>450</v>
      </c>
      <c r="I446" s="20" t="s">
        <v>668</v>
      </c>
      <c r="J446" s="6" t="s">
        <v>1257</v>
      </c>
      <c r="K446" s="6" t="s">
        <v>1265</v>
      </c>
      <c r="L446" s="6" t="s">
        <v>553</v>
      </c>
      <c r="M446" s="6" t="s">
        <v>554</v>
      </c>
      <c r="N446" s="6" t="s">
        <v>552</v>
      </c>
      <c r="O446" s="20" t="s">
        <v>1259</v>
      </c>
      <c r="P446" s="20" t="s">
        <v>269</v>
      </c>
      <c r="Q446" s="22" t="s">
        <v>555</v>
      </c>
      <c r="R446" s="6" t="s">
        <v>1260</v>
      </c>
      <c r="S446" s="6" t="s">
        <v>1266</v>
      </c>
    </row>
    <row r="447" ht="45" customHeight="1" spans="1:19" x14ac:dyDescent="0.25">
      <c r="A447" s="20" t="s">
        <v>549</v>
      </c>
      <c r="B447" s="20" t="s">
        <v>550</v>
      </c>
      <c r="C447" s="6" t="s">
        <v>1264</v>
      </c>
      <c r="D447" s="6" t="s">
        <v>1262</v>
      </c>
      <c r="E447" s="20">
        <v>7.5</v>
      </c>
      <c r="F447" s="20">
        <v>16</v>
      </c>
      <c r="G447" s="20" t="s">
        <v>735</v>
      </c>
      <c r="H447" s="27">
        <v>4300</v>
      </c>
      <c r="I447" s="20" t="s">
        <v>668</v>
      </c>
      <c r="J447" s="6" t="s">
        <v>1257</v>
      </c>
      <c r="K447" s="6" t="s">
        <v>1265</v>
      </c>
      <c r="L447" s="6" t="s">
        <v>553</v>
      </c>
      <c r="M447" s="6" t="s">
        <v>554</v>
      </c>
      <c r="N447" s="6" t="s">
        <v>552</v>
      </c>
      <c r="O447" s="20" t="s">
        <v>1259</v>
      </c>
      <c r="P447" s="20" t="s">
        <v>269</v>
      </c>
      <c r="Q447" s="22" t="s">
        <v>555</v>
      </c>
      <c r="R447" s="6" t="s">
        <v>1260</v>
      </c>
      <c r="S447" s="6" t="s">
        <v>1266</v>
      </c>
    </row>
    <row r="448" ht="45" customHeight="1" spans="1:19" x14ac:dyDescent="0.25">
      <c r="A448" s="20" t="s">
        <v>549</v>
      </c>
      <c r="B448" s="20" t="s">
        <v>550</v>
      </c>
      <c r="C448" s="6" t="s">
        <v>1264</v>
      </c>
      <c r="D448" s="6" t="s">
        <v>1263</v>
      </c>
      <c r="E448" s="20">
        <v>16</v>
      </c>
      <c r="F448" s="20">
        <v>40</v>
      </c>
      <c r="G448" s="20" t="s">
        <v>667</v>
      </c>
      <c r="H448" s="27">
        <v>100</v>
      </c>
      <c r="I448" s="20" t="s">
        <v>668</v>
      </c>
      <c r="J448" s="6" t="s">
        <v>1257</v>
      </c>
      <c r="K448" s="6" t="s">
        <v>1265</v>
      </c>
      <c r="L448" s="6" t="s">
        <v>553</v>
      </c>
      <c r="M448" s="6" t="s">
        <v>554</v>
      </c>
      <c r="N448" s="6" t="s">
        <v>552</v>
      </c>
      <c r="O448" s="20" t="s">
        <v>1259</v>
      </c>
      <c r="P448" s="20" t="s">
        <v>269</v>
      </c>
      <c r="Q448" s="22" t="s">
        <v>555</v>
      </c>
      <c r="R448" s="6" t="s">
        <v>1260</v>
      </c>
      <c r="S448" s="6" t="s">
        <v>1266</v>
      </c>
    </row>
    <row r="449" ht="45" customHeight="1" spans="1:19" x14ac:dyDescent="0.25">
      <c r="A449" s="20" t="s">
        <v>549</v>
      </c>
      <c r="B449" s="20" t="s">
        <v>550</v>
      </c>
      <c r="C449" s="6" t="s">
        <v>1264</v>
      </c>
      <c r="D449" s="6" t="s">
        <v>1263</v>
      </c>
      <c r="E449" s="20">
        <v>16</v>
      </c>
      <c r="F449" s="20">
        <v>40</v>
      </c>
      <c r="G449" s="20" t="s">
        <v>674</v>
      </c>
      <c r="H449" s="27">
        <v>900</v>
      </c>
      <c r="I449" s="20" t="s">
        <v>668</v>
      </c>
      <c r="J449" s="6" t="s">
        <v>1257</v>
      </c>
      <c r="K449" s="6" t="s">
        <v>1265</v>
      </c>
      <c r="L449" s="6" t="s">
        <v>553</v>
      </c>
      <c r="M449" s="6" t="s">
        <v>554</v>
      </c>
      <c r="N449" s="6" t="s">
        <v>552</v>
      </c>
      <c r="O449" s="20" t="s">
        <v>1259</v>
      </c>
      <c r="P449" s="20" t="s">
        <v>269</v>
      </c>
      <c r="Q449" s="22" t="s">
        <v>555</v>
      </c>
      <c r="R449" s="6" t="s">
        <v>1260</v>
      </c>
      <c r="S449" s="6" t="s">
        <v>1266</v>
      </c>
    </row>
    <row r="450" ht="45" customHeight="1" spans="1:19" x14ac:dyDescent="0.25">
      <c r="A450" s="20" t="s">
        <v>549</v>
      </c>
      <c r="B450" s="20" t="s">
        <v>550</v>
      </c>
      <c r="C450" s="6" t="s">
        <v>1264</v>
      </c>
      <c r="D450" s="6" t="s">
        <v>1263</v>
      </c>
      <c r="E450" s="20">
        <v>16</v>
      </c>
      <c r="F450" s="20">
        <v>40</v>
      </c>
      <c r="G450" s="20" t="s">
        <v>735</v>
      </c>
      <c r="H450" s="27">
        <v>8500</v>
      </c>
      <c r="I450" s="20" t="s">
        <v>668</v>
      </c>
      <c r="J450" s="6" t="s">
        <v>1257</v>
      </c>
      <c r="K450" s="6" t="s">
        <v>1265</v>
      </c>
      <c r="L450" s="6" t="s">
        <v>553</v>
      </c>
      <c r="M450" s="6" t="s">
        <v>554</v>
      </c>
      <c r="N450" s="6" t="s">
        <v>552</v>
      </c>
      <c r="O450" s="20" t="s">
        <v>1259</v>
      </c>
      <c r="P450" s="20" t="s">
        <v>269</v>
      </c>
      <c r="Q450" s="22" t="s">
        <v>555</v>
      </c>
      <c r="R450" s="6" t="s">
        <v>1260</v>
      </c>
      <c r="S450" s="6" t="s">
        <v>1266</v>
      </c>
    </row>
    <row r="451" ht="45" customHeight="1" spans="1:19" x14ac:dyDescent="0.25">
      <c r="A451" s="20" t="s">
        <v>549</v>
      </c>
      <c r="B451" s="20" t="s">
        <v>550</v>
      </c>
      <c r="C451" s="6" t="s">
        <v>1264</v>
      </c>
      <c r="D451" s="6" t="s">
        <v>688</v>
      </c>
      <c r="E451" s="20">
        <v>40</v>
      </c>
      <c r="F451" s="20"/>
      <c r="G451" s="20" t="s">
        <v>667</v>
      </c>
      <c r="H451" s="27">
        <v>150</v>
      </c>
      <c r="I451" s="20" t="s">
        <v>668</v>
      </c>
      <c r="J451" s="6" t="s">
        <v>1257</v>
      </c>
      <c r="K451" s="6" t="s">
        <v>1265</v>
      </c>
      <c r="L451" s="6" t="s">
        <v>553</v>
      </c>
      <c r="M451" s="6" t="s">
        <v>554</v>
      </c>
      <c r="N451" s="6" t="s">
        <v>552</v>
      </c>
      <c r="O451" s="20" t="s">
        <v>1259</v>
      </c>
      <c r="P451" s="20" t="s">
        <v>269</v>
      </c>
      <c r="Q451" s="22" t="s">
        <v>555</v>
      </c>
      <c r="R451" s="6" t="s">
        <v>1260</v>
      </c>
      <c r="S451" s="6" t="s">
        <v>1266</v>
      </c>
    </row>
    <row r="452" ht="45" customHeight="1" spans="1:19" x14ac:dyDescent="0.25">
      <c r="A452" s="20" t="s">
        <v>549</v>
      </c>
      <c r="B452" s="20" t="s">
        <v>550</v>
      </c>
      <c r="C452" s="6" t="s">
        <v>1264</v>
      </c>
      <c r="D452" s="6" t="s">
        <v>688</v>
      </c>
      <c r="E452" s="20">
        <v>40</v>
      </c>
      <c r="F452" s="20"/>
      <c r="G452" s="20" t="s">
        <v>674</v>
      </c>
      <c r="H452" s="27">
        <v>1200</v>
      </c>
      <c r="I452" s="20" t="s">
        <v>668</v>
      </c>
      <c r="J452" s="6" t="s">
        <v>1257</v>
      </c>
      <c r="K452" s="6" t="s">
        <v>1265</v>
      </c>
      <c r="L452" s="6" t="s">
        <v>553</v>
      </c>
      <c r="M452" s="6" t="s">
        <v>554</v>
      </c>
      <c r="N452" s="6" t="s">
        <v>552</v>
      </c>
      <c r="O452" s="20" t="s">
        <v>1259</v>
      </c>
      <c r="P452" s="20" t="s">
        <v>269</v>
      </c>
      <c r="Q452" s="22" t="s">
        <v>555</v>
      </c>
      <c r="R452" s="6" t="s">
        <v>1260</v>
      </c>
      <c r="S452" s="6" t="s">
        <v>1266</v>
      </c>
    </row>
    <row r="453" ht="45" customHeight="1" spans="1:19" x14ac:dyDescent="0.25">
      <c r="A453" s="20" t="s">
        <v>549</v>
      </c>
      <c r="B453" s="20" t="s">
        <v>550</v>
      </c>
      <c r="C453" s="6" t="s">
        <v>1264</v>
      </c>
      <c r="D453" s="6" t="s">
        <v>688</v>
      </c>
      <c r="E453" s="20">
        <v>40</v>
      </c>
      <c r="F453" s="20"/>
      <c r="G453" s="20" t="s">
        <v>735</v>
      </c>
      <c r="H453" s="27">
        <v>12000</v>
      </c>
      <c r="I453" s="20" t="s">
        <v>668</v>
      </c>
      <c r="J453" s="6" t="s">
        <v>1257</v>
      </c>
      <c r="K453" s="6" t="s">
        <v>1265</v>
      </c>
      <c r="L453" s="6" t="s">
        <v>553</v>
      </c>
      <c r="M453" s="6" t="s">
        <v>554</v>
      </c>
      <c r="N453" s="6" t="s">
        <v>552</v>
      </c>
      <c r="O453" s="20" t="s">
        <v>1259</v>
      </c>
      <c r="P453" s="20" t="s">
        <v>269</v>
      </c>
      <c r="Q453" s="22" t="s">
        <v>555</v>
      </c>
      <c r="R453" s="6" t="s">
        <v>1260</v>
      </c>
      <c r="S453" s="6" t="s">
        <v>1266</v>
      </c>
    </row>
    <row r="454" ht="45" customHeight="1" spans="1:19" x14ac:dyDescent="0.25">
      <c r="A454" s="20" t="s">
        <v>549</v>
      </c>
      <c r="B454" s="20" t="s">
        <v>550</v>
      </c>
      <c r="C454" s="6" t="s">
        <v>1264</v>
      </c>
      <c r="D454" s="6" t="s">
        <v>1256</v>
      </c>
      <c r="E454" s="20">
        <v>4.5</v>
      </c>
      <c r="F454" s="20">
        <v>7.5</v>
      </c>
      <c r="G454" s="20" t="s">
        <v>706</v>
      </c>
      <c r="H454" s="27"/>
      <c r="I454" s="20" t="s">
        <v>668</v>
      </c>
      <c r="J454" s="6" t="s">
        <v>1257</v>
      </c>
      <c r="K454" s="6" t="s">
        <v>1267</v>
      </c>
      <c r="L454" s="6" t="s">
        <v>553</v>
      </c>
      <c r="M454" s="6" t="s">
        <v>554</v>
      </c>
      <c r="N454" s="6" t="s">
        <v>552</v>
      </c>
      <c r="O454" s="20" t="s">
        <v>1259</v>
      </c>
      <c r="P454" s="20" t="s">
        <v>269</v>
      </c>
      <c r="Q454" s="22" t="s">
        <v>555</v>
      </c>
      <c r="R454" s="6" t="s">
        <v>1268</v>
      </c>
      <c r="S454" s="6" t="s">
        <v>1266</v>
      </c>
    </row>
    <row r="455" ht="45" customHeight="1" spans="1:19" x14ac:dyDescent="0.25">
      <c r="A455" s="20" t="s">
        <v>549</v>
      </c>
      <c r="B455" s="20" t="s">
        <v>550</v>
      </c>
      <c r="C455" s="6" t="s">
        <v>1269</v>
      </c>
      <c r="D455" s="6" t="s">
        <v>1075</v>
      </c>
      <c r="E455" s="20">
        <v>7.5</v>
      </c>
      <c r="F455" s="20"/>
      <c r="G455" s="20" t="s">
        <v>716</v>
      </c>
      <c r="H455" s="27"/>
      <c r="I455" s="20" t="s">
        <v>668</v>
      </c>
      <c r="J455" s="6" t="s">
        <v>1270</v>
      </c>
      <c r="K455" s="6" t="s">
        <v>1271</v>
      </c>
      <c r="L455" s="6" t="s">
        <v>553</v>
      </c>
      <c r="M455" s="6" t="s">
        <v>554</v>
      </c>
      <c r="N455" s="6" t="s">
        <v>1272</v>
      </c>
      <c r="O455" s="20" t="s">
        <v>1273</v>
      </c>
      <c r="P455" s="20" t="s">
        <v>269</v>
      </c>
      <c r="Q455" s="22" t="s">
        <v>1274</v>
      </c>
      <c r="R455" s="6" t="s">
        <v>1275</v>
      </c>
      <c r="S455" s="6" t="s">
        <v>1276</v>
      </c>
    </row>
    <row r="456" ht="45" customHeight="1" spans="1:19" x14ac:dyDescent="0.25">
      <c r="A456" s="20" t="s">
        <v>556</v>
      </c>
      <c r="B456" s="20" t="s">
        <v>557</v>
      </c>
      <c r="C456" s="6" t="s">
        <v>1033</v>
      </c>
      <c r="D456" s="6" t="s">
        <v>841</v>
      </c>
      <c r="E456" s="20">
        <v>3.5</v>
      </c>
      <c r="F456" s="20">
        <v>7.5</v>
      </c>
      <c r="G456" s="20" t="s">
        <v>667</v>
      </c>
      <c r="H456" s="27">
        <v>45</v>
      </c>
      <c r="I456" s="20" t="s">
        <v>668</v>
      </c>
      <c r="J456" s="6" t="s">
        <v>1277</v>
      </c>
      <c r="K456" s="6" t="s">
        <v>1278</v>
      </c>
      <c r="L456" s="6" t="s">
        <v>560</v>
      </c>
      <c r="M456" s="6" t="s">
        <v>561</v>
      </c>
      <c r="N456" s="6" t="s">
        <v>559</v>
      </c>
      <c r="O456" s="20" t="s">
        <v>933</v>
      </c>
      <c r="P456" s="20" t="s">
        <v>269</v>
      </c>
      <c r="Q456" s="22" t="s">
        <v>562</v>
      </c>
      <c r="R456" s="6" t="s">
        <v>1279</v>
      </c>
      <c r="S456" s="6" t="s">
        <v>1280</v>
      </c>
    </row>
    <row r="457" ht="45" customHeight="1" spans="1:19" x14ac:dyDescent="0.25">
      <c r="A457" s="20" t="s">
        <v>556</v>
      </c>
      <c r="B457" s="20" t="s">
        <v>557</v>
      </c>
      <c r="C457" s="6" t="s">
        <v>1033</v>
      </c>
      <c r="D457" s="6" t="s">
        <v>847</v>
      </c>
      <c r="E457" s="20">
        <v>7.5</v>
      </c>
      <c r="F457" s="20">
        <v>12.5</v>
      </c>
      <c r="G457" s="20" t="s">
        <v>667</v>
      </c>
      <c r="H457" s="27">
        <v>60</v>
      </c>
      <c r="I457" s="20" t="s">
        <v>668</v>
      </c>
      <c r="J457" s="6" t="s">
        <v>1281</v>
      </c>
      <c r="K457" s="6" t="s">
        <v>1278</v>
      </c>
      <c r="L457" s="6" t="s">
        <v>560</v>
      </c>
      <c r="M457" s="6" t="s">
        <v>561</v>
      </c>
      <c r="N457" s="6" t="s">
        <v>559</v>
      </c>
      <c r="O457" s="20" t="s">
        <v>933</v>
      </c>
      <c r="P457" s="20" t="s">
        <v>269</v>
      </c>
      <c r="Q457" s="22" t="s">
        <v>562</v>
      </c>
      <c r="R457" s="6" t="s">
        <v>1279</v>
      </c>
      <c r="S457" s="6" t="s">
        <v>1280</v>
      </c>
    </row>
    <row r="458" ht="45" customHeight="1" spans="1:19" x14ac:dyDescent="0.25">
      <c r="A458" s="20" t="s">
        <v>556</v>
      </c>
      <c r="B458" s="20" t="s">
        <v>557</v>
      </c>
      <c r="C458" s="6" t="s">
        <v>1033</v>
      </c>
      <c r="D458" s="6" t="s">
        <v>1282</v>
      </c>
      <c r="E458" s="20">
        <v>12.5</v>
      </c>
      <c r="F458" s="20"/>
      <c r="G458" s="20" t="s">
        <v>667</v>
      </c>
      <c r="H458" s="27">
        <v>75</v>
      </c>
      <c r="I458" s="20" t="s">
        <v>668</v>
      </c>
      <c r="J458" s="6" t="s">
        <v>1283</v>
      </c>
      <c r="K458" s="6" t="s">
        <v>1278</v>
      </c>
      <c r="L458" s="6" t="s">
        <v>560</v>
      </c>
      <c r="M458" s="6" t="s">
        <v>561</v>
      </c>
      <c r="N458" s="6" t="s">
        <v>559</v>
      </c>
      <c r="O458" s="20" t="s">
        <v>933</v>
      </c>
      <c r="P458" s="20" t="s">
        <v>269</v>
      </c>
      <c r="Q458" s="22" t="s">
        <v>562</v>
      </c>
      <c r="R458" s="6" t="s">
        <v>1279</v>
      </c>
      <c r="S458" s="6" t="s">
        <v>1280</v>
      </c>
    </row>
    <row r="459" ht="45" customHeight="1" spans="1:19" x14ac:dyDescent="0.25">
      <c r="A459" s="20" t="s">
        <v>556</v>
      </c>
      <c r="B459" s="20" t="s">
        <v>557</v>
      </c>
      <c r="C459" s="6" t="s">
        <v>1033</v>
      </c>
      <c r="D459" s="6" t="s">
        <v>946</v>
      </c>
      <c r="E459" s="20"/>
      <c r="F459" s="20"/>
      <c r="G459" s="20" t="s">
        <v>842</v>
      </c>
      <c r="H459" s="27">
        <v>1450</v>
      </c>
      <c r="I459" s="20" t="s">
        <v>668</v>
      </c>
      <c r="J459" s="6"/>
      <c r="K459" s="6" t="s">
        <v>1284</v>
      </c>
      <c r="L459" s="6" t="s">
        <v>560</v>
      </c>
      <c r="M459" s="6" t="s">
        <v>561</v>
      </c>
      <c r="N459" s="6" t="s">
        <v>559</v>
      </c>
      <c r="O459" s="20" t="s">
        <v>933</v>
      </c>
      <c r="P459" s="20" t="s">
        <v>269</v>
      </c>
      <c r="Q459" s="22" t="s">
        <v>562</v>
      </c>
      <c r="R459" s="6" t="s">
        <v>1285</v>
      </c>
      <c r="S459" s="6" t="s">
        <v>1280</v>
      </c>
    </row>
    <row r="460" ht="45" customHeight="1" spans="1:19" x14ac:dyDescent="0.25">
      <c r="A460" s="20" t="s">
        <v>556</v>
      </c>
      <c r="B460" s="20" t="s">
        <v>557</v>
      </c>
      <c r="C460" s="6" t="s">
        <v>1033</v>
      </c>
      <c r="D460" s="6" t="s">
        <v>1286</v>
      </c>
      <c r="E460" s="20">
        <v>3.5</v>
      </c>
      <c r="F460" s="20">
        <v>5</v>
      </c>
      <c r="G460" s="20" t="s">
        <v>674</v>
      </c>
      <c r="H460" s="27">
        <v>75</v>
      </c>
      <c r="I460" s="20" t="s">
        <v>668</v>
      </c>
      <c r="J460" s="6" t="s">
        <v>1287</v>
      </c>
      <c r="K460" s="6" t="s">
        <v>1278</v>
      </c>
      <c r="L460" s="6" t="s">
        <v>560</v>
      </c>
      <c r="M460" s="6" t="s">
        <v>561</v>
      </c>
      <c r="N460" s="6" t="s">
        <v>559</v>
      </c>
      <c r="O460" s="20" t="s">
        <v>933</v>
      </c>
      <c r="P460" s="20" t="s">
        <v>269</v>
      </c>
      <c r="Q460" s="22" t="s">
        <v>562</v>
      </c>
      <c r="R460" s="6" t="s">
        <v>1288</v>
      </c>
      <c r="S460" s="6" t="s">
        <v>1280</v>
      </c>
    </row>
    <row r="461" ht="45" customHeight="1" spans="1:19" x14ac:dyDescent="0.25">
      <c r="A461" s="20" t="s">
        <v>556</v>
      </c>
      <c r="B461" s="20" t="s">
        <v>557</v>
      </c>
      <c r="C461" s="6" t="s">
        <v>1033</v>
      </c>
      <c r="D461" s="6" t="s">
        <v>1289</v>
      </c>
      <c r="E461" s="20">
        <v>5</v>
      </c>
      <c r="F461" s="20">
        <v>10</v>
      </c>
      <c r="G461" s="20" t="s">
        <v>674</v>
      </c>
      <c r="H461" s="27">
        <v>110</v>
      </c>
      <c r="I461" s="20" t="s">
        <v>668</v>
      </c>
      <c r="J461" s="6" t="s">
        <v>1290</v>
      </c>
      <c r="K461" s="6" t="s">
        <v>1278</v>
      </c>
      <c r="L461" s="6" t="s">
        <v>560</v>
      </c>
      <c r="M461" s="6" t="s">
        <v>561</v>
      </c>
      <c r="N461" s="6" t="s">
        <v>559</v>
      </c>
      <c r="O461" s="20" t="s">
        <v>933</v>
      </c>
      <c r="P461" s="20" t="s">
        <v>269</v>
      </c>
      <c r="Q461" s="22" t="s">
        <v>562</v>
      </c>
      <c r="R461" s="6" t="s">
        <v>1288</v>
      </c>
      <c r="S461" s="6" t="s">
        <v>1280</v>
      </c>
    </row>
    <row r="462" ht="45" customHeight="1" spans="1:19" x14ac:dyDescent="0.25">
      <c r="A462" s="20" t="s">
        <v>556</v>
      </c>
      <c r="B462" s="20" t="s">
        <v>557</v>
      </c>
      <c r="C462" s="6" t="s">
        <v>1033</v>
      </c>
      <c r="D462" s="6" t="s">
        <v>1291</v>
      </c>
      <c r="E462" s="20">
        <v>10</v>
      </c>
      <c r="F462" s="20">
        <v>20</v>
      </c>
      <c r="G462" s="20" t="s">
        <v>674</v>
      </c>
      <c r="H462" s="27">
        <v>220</v>
      </c>
      <c r="I462" s="20" t="s">
        <v>668</v>
      </c>
      <c r="J462" s="6" t="s">
        <v>1292</v>
      </c>
      <c r="K462" s="6" t="s">
        <v>1278</v>
      </c>
      <c r="L462" s="6" t="s">
        <v>560</v>
      </c>
      <c r="M462" s="6" t="s">
        <v>561</v>
      </c>
      <c r="N462" s="6" t="s">
        <v>559</v>
      </c>
      <c r="O462" s="20" t="s">
        <v>933</v>
      </c>
      <c r="P462" s="20" t="s">
        <v>269</v>
      </c>
      <c r="Q462" s="22" t="s">
        <v>562</v>
      </c>
      <c r="R462" s="6" t="s">
        <v>1288</v>
      </c>
      <c r="S462" s="6" t="s">
        <v>1280</v>
      </c>
    </row>
    <row r="463" ht="45" customHeight="1" spans="1:19" x14ac:dyDescent="0.25">
      <c r="A463" s="20" t="s">
        <v>556</v>
      </c>
      <c r="B463" s="20" t="s">
        <v>557</v>
      </c>
      <c r="C463" s="6" t="s">
        <v>1033</v>
      </c>
      <c r="D463" s="6" t="s">
        <v>1293</v>
      </c>
      <c r="E463" s="20">
        <v>20</v>
      </c>
      <c r="F463" s="20">
        <v>26</v>
      </c>
      <c r="G463" s="20" t="s">
        <v>674</v>
      </c>
      <c r="H463" s="27">
        <v>440</v>
      </c>
      <c r="I463" s="20" t="s">
        <v>668</v>
      </c>
      <c r="J463" s="6" t="s">
        <v>1294</v>
      </c>
      <c r="K463" s="6" t="s">
        <v>1278</v>
      </c>
      <c r="L463" s="6" t="s">
        <v>560</v>
      </c>
      <c r="M463" s="6" t="s">
        <v>561</v>
      </c>
      <c r="N463" s="6" t="s">
        <v>559</v>
      </c>
      <c r="O463" s="20" t="s">
        <v>933</v>
      </c>
      <c r="P463" s="20" t="s">
        <v>269</v>
      </c>
      <c r="Q463" s="22" t="s">
        <v>562</v>
      </c>
      <c r="R463" s="6" t="s">
        <v>1288</v>
      </c>
      <c r="S463" s="6" t="s">
        <v>1280</v>
      </c>
    </row>
    <row r="464" ht="45" customHeight="1" spans="1:19" x14ac:dyDescent="0.25">
      <c r="A464" s="20" t="s">
        <v>556</v>
      </c>
      <c r="B464" s="20" t="s">
        <v>557</v>
      </c>
      <c r="C464" s="6" t="s">
        <v>1033</v>
      </c>
      <c r="D464" s="6" t="s">
        <v>1295</v>
      </c>
      <c r="E464" s="20"/>
      <c r="F464" s="20"/>
      <c r="G464" s="20" t="s">
        <v>674</v>
      </c>
      <c r="H464" s="27">
        <v>3000</v>
      </c>
      <c r="I464" s="20" t="s">
        <v>668</v>
      </c>
      <c r="J464" s="6"/>
      <c r="K464" s="6" t="s">
        <v>1284</v>
      </c>
      <c r="L464" s="6" t="s">
        <v>560</v>
      </c>
      <c r="M464" s="6" t="s">
        <v>561</v>
      </c>
      <c r="N464" s="6" t="s">
        <v>559</v>
      </c>
      <c r="O464" s="20" t="s">
        <v>933</v>
      </c>
      <c r="P464" s="20" t="s">
        <v>269</v>
      </c>
      <c r="Q464" s="22" t="s">
        <v>562</v>
      </c>
      <c r="R464" s="6" t="s">
        <v>1296</v>
      </c>
      <c r="S464" s="6" t="s">
        <v>1280</v>
      </c>
    </row>
    <row r="465" ht="45" customHeight="1" spans="1:19" x14ac:dyDescent="0.25">
      <c r="A465" s="20" t="s">
        <v>563</v>
      </c>
      <c r="B465" s="20" t="s">
        <v>564</v>
      </c>
      <c r="C465" s="6" t="s">
        <v>1297</v>
      </c>
      <c r="D465" s="6" t="s">
        <v>1298</v>
      </c>
      <c r="E465" s="20">
        <v>3.5</v>
      </c>
      <c r="F465" s="20">
        <v>20</v>
      </c>
      <c r="G465" s="20" t="s">
        <v>667</v>
      </c>
      <c r="H465" s="27">
        <v>89</v>
      </c>
      <c r="I465" s="20" t="s">
        <v>668</v>
      </c>
      <c r="J465" s="6" t="s">
        <v>1299</v>
      </c>
      <c r="K465" s="6" t="s">
        <v>1300</v>
      </c>
      <c r="L465" s="6" t="s">
        <v>567</v>
      </c>
      <c r="M465" s="6" t="s">
        <v>568</v>
      </c>
      <c r="N465" s="6" t="s">
        <v>566</v>
      </c>
      <c r="O465" s="20" t="s">
        <v>1301</v>
      </c>
      <c r="P465" s="20" t="s">
        <v>236</v>
      </c>
      <c r="Q465" s="22" t="s">
        <v>570</v>
      </c>
      <c r="R465" s="6" t="s">
        <v>1302</v>
      </c>
      <c r="S465" s="6" t="s">
        <v>1303</v>
      </c>
    </row>
    <row r="466" ht="45" customHeight="1" spans="1:19" x14ac:dyDescent="0.25">
      <c r="A466" s="20" t="s">
        <v>563</v>
      </c>
      <c r="B466" s="20" t="s">
        <v>564</v>
      </c>
      <c r="C466" s="6" t="s">
        <v>1297</v>
      </c>
      <c r="D466" s="6" t="s">
        <v>1304</v>
      </c>
      <c r="E466" s="20">
        <v>20</v>
      </c>
      <c r="F466" s="20"/>
      <c r="G466" s="20" t="s">
        <v>667</v>
      </c>
      <c r="H466" s="27">
        <v>164</v>
      </c>
      <c r="I466" s="20" t="s">
        <v>668</v>
      </c>
      <c r="J466" s="6" t="s">
        <v>1299</v>
      </c>
      <c r="K466" s="6" t="s">
        <v>1305</v>
      </c>
      <c r="L466" s="6" t="s">
        <v>567</v>
      </c>
      <c r="M466" s="6" t="s">
        <v>568</v>
      </c>
      <c r="N466" s="6" t="s">
        <v>566</v>
      </c>
      <c r="O466" s="20" t="s">
        <v>1301</v>
      </c>
      <c r="P466" s="20" t="s">
        <v>236</v>
      </c>
      <c r="Q466" s="22" t="s">
        <v>570</v>
      </c>
      <c r="R466" s="6" t="s">
        <v>1306</v>
      </c>
      <c r="S466" s="6" t="s">
        <v>1303</v>
      </c>
    </row>
    <row r="467" ht="45" customHeight="1" spans="1:19" x14ac:dyDescent="0.25">
      <c r="A467" s="20" t="s">
        <v>563</v>
      </c>
      <c r="B467" s="20" t="s">
        <v>564</v>
      </c>
      <c r="C467" s="6" t="s">
        <v>1297</v>
      </c>
      <c r="D467" s="6" t="s">
        <v>1307</v>
      </c>
      <c r="E467" s="20"/>
      <c r="F467" s="20"/>
      <c r="G467" s="20" t="s">
        <v>667</v>
      </c>
      <c r="H467" s="27">
        <v>2227</v>
      </c>
      <c r="I467" s="20" t="s">
        <v>668</v>
      </c>
      <c r="J467" s="6" t="s">
        <v>1299</v>
      </c>
      <c r="K467" s="6" t="s">
        <v>1308</v>
      </c>
      <c r="L467" s="6" t="s">
        <v>567</v>
      </c>
      <c r="M467" s="6" t="s">
        <v>568</v>
      </c>
      <c r="N467" s="6" t="s">
        <v>566</v>
      </c>
      <c r="O467" s="20" t="s">
        <v>1301</v>
      </c>
      <c r="P467" s="20" t="s">
        <v>236</v>
      </c>
      <c r="Q467" s="22" t="s">
        <v>570</v>
      </c>
      <c r="R467" s="6" t="s">
        <v>1309</v>
      </c>
      <c r="S467" s="6" t="s">
        <v>1303</v>
      </c>
    </row>
    <row r="468" ht="45" customHeight="1" spans="1:19" x14ac:dyDescent="0.25">
      <c r="A468" s="20" t="s">
        <v>571</v>
      </c>
      <c r="B468" s="20" t="s">
        <v>572</v>
      </c>
      <c r="C468" s="6" t="s">
        <v>1310</v>
      </c>
      <c r="D468" s="6" t="s">
        <v>1311</v>
      </c>
      <c r="E468" s="20">
        <v>3.5</v>
      </c>
      <c r="F468" s="20">
        <v>7.5</v>
      </c>
      <c r="G468" s="20" t="s">
        <v>667</v>
      </c>
      <c r="H468" s="27">
        <v>50</v>
      </c>
      <c r="I468" s="20" t="s">
        <v>668</v>
      </c>
      <c r="J468" s="6" t="s">
        <v>1312</v>
      </c>
      <c r="K468" s="6" t="s">
        <v>1313</v>
      </c>
      <c r="L468" s="6" t="s">
        <v>575</v>
      </c>
      <c r="M468" s="6" t="s">
        <v>576</v>
      </c>
      <c r="N468" s="6" t="s">
        <v>574</v>
      </c>
      <c r="O468" s="20" t="s">
        <v>933</v>
      </c>
      <c r="P468" s="20" t="s">
        <v>269</v>
      </c>
      <c r="Q468" s="22" t="s">
        <v>577</v>
      </c>
      <c r="R468" s="6" t="s">
        <v>1314</v>
      </c>
      <c r="S468" s="6" t="s">
        <v>1315</v>
      </c>
    </row>
    <row r="469" ht="45" customHeight="1" spans="1:19" x14ac:dyDescent="0.25">
      <c r="A469" s="20" t="s">
        <v>571</v>
      </c>
      <c r="B469" s="20" t="s">
        <v>572</v>
      </c>
      <c r="C469" s="6" t="s">
        <v>1310</v>
      </c>
      <c r="D469" s="6" t="s">
        <v>1311</v>
      </c>
      <c r="E469" s="20">
        <v>3.5</v>
      </c>
      <c r="F469" s="20">
        <v>7.5</v>
      </c>
      <c r="G469" s="20" t="s">
        <v>674</v>
      </c>
      <c r="H469" s="27">
        <v>150</v>
      </c>
      <c r="I469" s="20" t="s">
        <v>668</v>
      </c>
      <c r="J469" s="6" t="s">
        <v>1312</v>
      </c>
      <c r="K469" s="6" t="s">
        <v>1313</v>
      </c>
      <c r="L469" s="6" t="s">
        <v>575</v>
      </c>
      <c r="M469" s="6" t="s">
        <v>576</v>
      </c>
      <c r="N469" s="6" t="s">
        <v>574</v>
      </c>
      <c r="O469" s="20" t="s">
        <v>933</v>
      </c>
      <c r="P469" s="20" t="s">
        <v>269</v>
      </c>
      <c r="Q469" s="22" t="s">
        <v>577</v>
      </c>
      <c r="R469" s="6" t="s">
        <v>1314</v>
      </c>
      <c r="S469" s="6" t="s">
        <v>1315</v>
      </c>
    </row>
    <row r="470" ht="45" customHeight="1" spans="1:19" x14ac:dyDescent="0.25">
      <c r="A470" s="20" t="s">
        <v>571</v>
      </c>
      <c r="B470" s="20" t="s">
        <v>572</v>
      </c>
      <c r="C470" s="6" t="s">
        <v>1310</v>
      </c>
      <c r="D470" s="6" t="s">
        <v>1311</v>
      </c>
      <c r="E470" s="20">
        <v>3.5</v>
      </c>
      <c r="F470" s="20">
        <v>7.5</v>
      </c>
      <c r="G470" s="20" t="s">
        <v>735</v>
      </c>
      <c r="H470" s="27">
        <v>400</v>
      </c>
      <c r="I470" s="20" t="s">
        <v>668</v>
      </c>
      <c r="J470" s="6" t="s">
        <v>1312</v>
      </c>
      <c r="K470" s="6" t="s">
        <v>1313</v>
      </c>
      <c r="L470" s="6" t="s">
        <v>575</v>
      </c>
      <c r="M470" s="6" t="s">
        <v>576</v>
      </c>
      <c r="N470" s="6" t="s">
        <v>574</v>
      </c>
      <c r="O470" s="20" t="s">
        <v>933</v>
      </c>
      <c r="P470" s="20" t="s">
        <v>269</v>
      </c>
      <c r="Q470" s="22" t="s">
        <v>577</v>
      </c>
      <c r="R470" s="6" t="s">
        <v>1314</v>
      </c>
      <c r="S470" s="6" t="s">
        <v>1315</v>
      </c>
    </row>
    <row r="471" ht="45" customHeight="1" spans="1:19" x14ac:dyDescent="0.25">
      <c r="A471" s="20" t="s">
        <v>571</v>
      </c>
      <c r="B471" s="20" t="s">
        <v>572</v>
      </c>
      <c r="C471" s="6" t="s">
        <v>1310</v>
      </c>
      <c r="D471" s="6" t="s">
        <v>1262</v>
      </c>
      <c r="E471" s="20">
        <v>7.5</v>
      </c>
      <c r="F471" s="20">
        <v>16</v>
      </c>
      <c r="G471" s="20" t="s">
        <v>667</v>
      </c>
      <c r="H471" s="27">
        <v>60</v>
      </c>
      <c r="I471" s="20" t="s">
        <v>668</v>
      </c>
      <c r="J471" s="6" t="s">
        <v>1312</v>
      </c>
      <c r="K471" s="6" t="s">
        <v>1313</v>
      </c>
      <c r="L471" s="6" t="s">
        <v>575</v>
      </c>
      <c r="M471" s="6" t="s">
        <v>576</v>
      </c>
      <c r="N471" s="6" t="s">
        <v>574</v>
      </c>
      <c r="O471" s="20" t="s">
        <v>933</v>
      </c>
      <c r="P471" s="20" t="s">
        <v>269</v>
      </c>
      <c r="Q471" s="22" t="s">
        <v>577</v>
      </c>
      <c r="R471" s="6" t="s">
        <v>1316</v>
      </c>
      <c r="S471" s="6" t="s">
        <v>1315</v>
      </c>
    </row>
    <row r="472" ht="45" customHeight="1" spans="1:19" x14ac:dyDescent="0.25">
      <c r="A472" s="20" t="s">
        <v>571</v>
      </c>
      <c r="B472" s="20" t="s">
        <v>572</v>
      </c>
      <c r="C472" s="6" t="s">
        <v>1310</v>
      </c>
      <c r="D472" s="6" t="s">
        <v>1262</v>
      </c>
      <c r="E472" s="20">
        <v>7.5</v>
      </c>
      <c r="F472" s="20">
        <v>16</v>
      </c>
      <c r="G472" s="20" t="s">
        <v>674</v>
      </c>
      <c r="H472" s="27">
        <v>200</v>
      </c>
      <c r="I472" s="20" t="s">
        <v>668</v>
      </c>
      <c r="J472" s="6" t="s">
        <v>1312</v>
      </c>
      <c r="K472" s="6" t="s">
        <v>1313</v>
      </c>
      <c r="L472" s="6" t="s">
        <v>575</v>
      </c>
      <c r="M472" s="6" t="s">
        <v>576</v>
      </c>
      <c r="N472" s="6" t="s">
        <v>574</v>
      </c>
      <c r="O472" s="20" t="s">
        <v>933</v>
      </c>
      <c r="P472" s="20" t="s">
        <v>269</v>
      </c>
      <c r="Q472" s="22" t="s">
        <v>577</v>
      </c>
      <c r="R472" s="6" t="s">
        <v>1316</v>
      </c>
      <c r="S472" s="6" t="s">
        <v>1315</v>
      </c>
    </row>
    <row r="473" ht="45" customHeight="1" spans="1:19" x14ac:dyDescent="0.25">
      <c r="A473" s="20" t="s">
        <v>571</v>
      </c>
      <c r="B473" s="20" t="s">
        <v>572</v>
      </c>
      <c r="C473" s="6" t="s">
        <v>1310</v>
      </c>
      <c r="D473" s="6" t="s">
        <v>1262</v>
      </c>
      <c r="E473" s="20">
        <v>7.5</v>
      </c>
      <c r="F473" s="20">
        <v>16</v>
      </c>
      <c r="G473" s="20" t="s">
        <v>735</v>
      </c>
      <c r="H473" s="27">
        <v>800</v>
      </c>
      <c r="I473" s="20" t="s">
        <v>668</v>
      </c>
      <c r="J473" s="6" t="s">
        <v>1312</v>
      </c>
      <c r="K473" s="6" t="s">
        <v>1313</v>
      </c>
      <c r="L473" s="6" t="s">
        <v>575</v>
      </c>
      <c r="M473" s="6" t="s">
        <v>576</v>
      </c>
      <c r="N473" s="6" t="s">
        <v>574</v>
      </c>
      <c r="O473" s="20" t="s">
        <v>933</v>
      </c>
      <c r="P473" s="20" t="s">
        <v>269</v>
      </c>
      <c r="Q473" s="22" t="s">
        <v>577</v>
      </c>
      <c r="R473" s="6" t="s">
        <v>1316</v>
      </c>
      <c r="S473" s="6" t="s">
        <v>1315</v>
      </c>
    </row>
    <row r="474" ht="45" customHeight="1" spans="1:19" x14ac:dyDescent="0.25">
      <c r="A474" s="20" t="s">
        <v>571</v>
      </c>
      <c r="B474" s="20" t="s">
        <v>572</v>
      </c>
      <c r="C474" s="6" t="s">
        <v>1310</v>
      </c>
      <c r="D474" s="6" t="s">
        <v>1163</v>
      </c>
      <c r="E474" s="20">
        <v>16</v>
      </c>
      <c r="F474" s="20"/>
      <c r="G474" s="20" t="s">
        <v>667</v>
      </c>
      <c r="H474" s="27">
        <v>80</v>
      </c>
      <c r="I474" s="20" t="s">
        <v>668</v>
      </c>
      <c r="J474" s="6" t="s">
        <v>1312</v>
      </c>
      <c r="K474" s="6" t="s">
        <v>1313</v>
      </c>
      <c r="L474" s="6" t="s">
        <v>575</v>
      </c>
      <c r="M474" s="6" t="s">
        <v>576</v>
      </c>
      <c r="N474" s="6" t="s">
        <v>574</v>
      </c>
      <c r="O474" s="20" t="s">
        <v>933</v>
      </c>
      <c r="P474" s="20" t="s">
        <v>269</v>
      </c>
      <c r="Q474" s="22" t="s">
        <v>577</v>
      </c>
      <c r="R474" s="6" t="s">
        <v>1317</v>
      </c>
      <c r="S474" s="6" t="s">
        <v>1315</v>
      </c>
    </row>
    <row r="475" ht="45" customHeight="1" spans="1:19" x14ac:dyDescent="0.25">
      <c r="A475" s="20" t="s">
        <v>571</v>
      </c>
      <c r="B475" s="20" t="s">
        <v>572</v>
      </c>
      <c r="C475" s="6" t="s">
        <v>1310</v>
      </c>
      <c r="D475" s="6" t="s">
        <v>1163</v>
      </c>
      <c r="E475" s="20">
        <v>16</v>
      </c>
      <c r="F475" s="20"/>
      <c r="G475" s="20" t="s">
        <v>674</v>
      </c>
      <c r="H475" s="27">
        <v>200</v>
      </c>
      <c r="I475" s="20" t="s">
        <v>668</v>
      </c>
      <c r="J475" s="6" t="s">
        <v>1312</v>
      </c>
      <c r="K475" s="6" t="s">
        <v>1313</v>
      </c>
      <c r="L475" s="6" t="s">
        <v>575</v>
      </c>
      <c r="M475" s="6" t="s">
        <v>576</v>
      </c>
      <c r="N475" s="6" t="s">
        <v>574</v>
      </c>
      <c r="O475" s="20" t="s">
        <v>933</v>
      </c>
      <c r="P475" s="20" t="s">
        <v>269</v>
      </c>
      <c r="Q475" s="22" t="s">
        <v>577</v>
      </c>
      <c r="R475" s="6" t="s">
        <v>1317</v>
      </c>
      <c r="S475" s="6" t="s">
        <v>1315</v>
      </c>
    </row>
    <row r="476" ht="45" customHeight="1" spans="1:19" x14ac:dyDescent="0.25">
      <c r="A476" s="20" t="s">
        <v>571</v>
      </c>
      <c r="B476" s="20" t="s">
        <v>572</v>
      </c>
      <c r="C476" s="6" t="s">
        <v>1310</v>
      </c>
      <c r="D476" s="6" t="s">
        <v>1163</v>
      </c>
      <c r="E476" s="20">
        <v>16</v>
      </c>
      <c r="F476" s="20"/>
      <c r="G476" s="20" t="s">
        <v>735</v>
      </c>
      <c r="H476" s="27">
        <v>800</v>
      </c>
      <c r="I476" s="20" t="s">
        <v>668</v>
      </c>
      <c r="J476" s="6" t="s">
        <v>1312</v>
      </c>
      <c r="K476" s="6" t="s">
        <v>1313</v>
      </c>
      <c r="L476" s="6" t="s">
        <v>575</v>
      </c>
      <c r="M476" s="6" t="s">
        <v>576</v>
      </c>
      <c r="N476" s="6" t="s">
        <v>574</v>
      </c>
      <c r="O476" s="20" t="s">
        <v>933</v>
      </c>
      <c r="P476" s="20" t="s">
        <v>269</v>
      </c>
      <c r="Q476" s="22" t="s">
        <v>577</v>
      </c>
      <c r="R476" s="6" t="s">
        <v>1317</v>
      </c>
      <c r="S476" s="6" t="s">
        <v>1315</v>
      </c>
    </row>
    <row r="477" ht="45" customHeight="1" spans="1:19" x14ac:dyDescent="0.25">
      <c r="A477" s="20" t="s">
        <v>571</v>
      </c>
      <c r="B477" s="20" t="s">
        <v>572</v>
      </c>
      <c r="C477" s="6" t="s">
        <v>1310</v>
      </c>
      <c r="D477" s="6" t="s">
        <v>1318</v>
      </c>
      <c r="E477" s="20"/>
      <c r="F477" s="20"/>
      <c r="G477" s="20" t="s">
        <v>667</v>
      </c>
      <c r="H477" s="27">
        <v>50</v>
      </c>
      <c r="I477" s="20" t="s">
        <v>668</v>
      </c>
      <c r="J477" s="6" t="s">
        <v>1312</v>
      </c>
      <c r="K477" s="6" t="s">
        <v>1313</v>
      </c>
      <c r="L477" s="6" t="s">
        <v>575</v>
      </c>
      <c r="M477" s="6" t="s">
        <v>576</v>
      </c>
      <c r="N477" s="6" t="s">
        <v>574</v>
      </c>
      <c r="O477" s="20" t="s">
        <v>933</v>
      </c>
      <c r="P477" s="20" t="s">
        <v>269</v>
      </c>
      <c r="Q477" s="22" t="s">
        <v>577</v>
      </c>
      <c r="R477" s="6" t="s">
        <v>1319</v>
      </c>
      <c r="S477" s="6" t="s">
        <v>1315</v>
      </c>
    </row>
    <row r="478" ht="45" customHeight="1" spans="1:19" x14ac:dyDescent="0.25">
      <c r="A478" s="20" t="s">
        <v>571</v>
      </c>
      <c r="B478" s="20" t="s">
        <v>572</v>
      </c>
      <c r="C478" s="6" t="s">
        <v>1310</v>
      </c>
      <c r="D478" s="6" t="s">
        <v>1318</v>
      </c>
      <c r="E478" s="20"/>
      <c r="F478" s="20"/>
      <c r="G478" s="20" t="s">
        <v>674</v>
      </c>
      <c r="H478" s="27">
        <v>100</v>
      </c>
      <c r="I478" s="20" t="s">
        <v>668</v>
      </c>
      <c r="J478" s="6" t="s">
        <v>1312</v>
      </c>
      <c r="K478" s="6" t="s">
        <v>1313</v>
      </c>
      <c r="L478" s="6" t="s">
        <v>575</v>
      </c>
      <c r="M478" s="6" t="s">
        <v>576</v>
      </c>
      <c r="N478" s="6" t="s">
        <v>574</v>
      </c>
      <c r="O478" s="20" t="s">
        <v>933</v>
      </c>
      <c r="P478" s="20" t="s">
        <v>269</v>
      </c>
      <c r="Q478" s="22" t="s">
        <v>577</v>
      </c>
      <c r="R478" s="6" t="s">
        <v>1319</v>
      </c>
      <c r="S478" s="6" t="s">
        <v>1315</v>
      </c>
    </row>
    <row r="479" ht="45" customHeight="1" spans="1:19" x14ac:dyDescent="0.25">
      <c r="A479" s="20" t="s">
        <v>571</v>
      </c>
      <c r="B479" s="20" t="s">
        <v>572</v>
      </c>
      <c r="C479" s="6" t="s">
        <v>1310</v>
      </c>
      <c r="D479" s="6" t="s">
        <v>1318</v>
      </c>
      <c r="E479" s="20"/>
      <c r="F479" s="20"/>
      <c r="G479" s="20" t="s">
        <v>735</v>
      </c>
      <c r="H479" s="27">
        <v>200</v>
      </c>
      <c r="I479" s="20" t="s">
        <v>668</v>
      </c>
      <c r="J479" s="6" t="s">
        <v>1312</v>
      </c>
      <c r="K479" s="6" t="s">
        <v>1313</v>
      </c>
      <c r="L479" s="6" t="s">
        <v>575</v>
      </c>
      <c r="M479" s="6" t="s">
        <v>576</v>
      </c>
      <c r="N479" s="6" t="s">
        <v>574</v>
      </c>
      <c r="O479" s="20" t="s">
        <v>933</v>
      </c>
      <c r="P479" s="20" t="s">
        <v>269</v>
      </c>
      <c r="Q479" s="22" t="s">
        <v>577</v>
      </c>
      <c r="R479" s="6" t="s">
        <v>1319</v>
      </c>
      <c r="S479" s="6" t="s">
        <v>1315</v>
      </c>
    </row>
    <row r="480" ht="45" customHeight="1" spans="1:19" x14ac:dyDescent="0.25">
      <c r="A480" s="20" t="s">
        <v>571</v>
      </c>
      <c r="B480" s="20" t="s">
        <v>572</v>
      </c>
      <c r="C480" s="6" t="s">
        <v>1310</v>
      </c>
      <c r="D480" s="6" t="s">
        <v>1320</v>
      </c>
      <c r="E480" s="20"/>
      <c r="F480" s="20"/>
      <c r="G480" s="20" t="s">
        <v>667</v>
      </c>
      <c r="H480" s="27">
        <v>100</v>
      </c>
      <c r="I480" s="20" t="s">
        <v>668</v>
      </c>
      <c r="J480" s="6" t="s">
        <v>1312</v>
      </c>
      <c r="K480" s="6" t="s">
        <v>1313</v>
      </c>
      <c r="L480" s="6" t="s">
        <v>575</v>
      </c>
      <c r="M480" s="6" t="s">
        <v>576</v>
      </c>
      <c r="N480" s="6" t="s">
        <v>574</v>
      </c>
      <c r="O480" s="20" t="s">
        <v>933</v>
      </c>
      <c r="P480" s="20" t="s">
        <v>269</v>
      </c>
      <c r="Q480" s="22" t="s">
        <v>577</v>
      </c>
      <c r="R480" s="6" t="s">
        <v>1321</v>
      </c>
      <c r="S480" s="6" t="s">
        <v>1315</v>
      </c>
    </row>
    <row r="481" ht="45" customHeight="1" spans="1:19" x14ac:dyDescent="0.25">
      <c r="A481" s="20" t="s">
        <v>571</v>
      </c>
      <c r="B481" s="20" t="s">
        <v>572</v>
      </c>
      <c r="C481" s="6" t="s">
        <v>1310</v>
      </c>
      <c r="D481" s="6" t="s">
        <v>1320</v>
      </c>
      <c r="E481" s="20"/>
      <c r="F481" s="20"/>
      <c r="G481" s="20" t="s">
        <v>674</v>
      </c>
      <c r="H481" s="27">
        <v>300</v>
      </c>
      <c r="I481" s="20" t="s">
        <v>668</v>
      </c>
      <c r="J481" s="6" t="s">
        <v>1312</v>
      </c>
      <c r="K481" s="6" t="s">
        <v>1313</v>
      </c>
      <c r="L481" s="6" t="s">
        <v>575</v>
      </c>
      <c r="M481" s="6" t="s">
        <v>576</v>
      </c>
      <c r="N481" s="6" t="s">
        <v>574</v>
      </c>
      <c r="O481" s="20" t="s">
        <v>933</v>
      </c>
      <c r="P481" s="20" t="s">
        <v>269</v>
      </c>
      <c r="Q481" s="22" t="s">
        <v>577</v>
      </c>
      <c r="R481" s="6" t="s">
        <v>1321</v>
      </c>
      <c r="S481" s="6" t="s">
        <v>1315</v>
      </c>
    </row>
    <row r="482" ht="45" customHeight="1" spans="1:19" x14ac:dyDescent="0.25">
      <c r="A482" s="20" t="s">
        <v>571</v>
      </c>
      <c r="B482" s="20" t="s">
        <v>572</v>
      </c>
      <c r="C482" s="6" t="s">
        <v>1310</v>
      </c>
      <c r="D482" s="6" t="s">
        <v>1320</v>
      </c>
      <c r="E482" s="20"/>
      <c r="F482" s="20"/>
      <c r="G482" s="20" t="s">
        <v>735</v>
      </c>
      <c r="H482" s="27">
        <v>1000</v>
      </c>
      <c r="I482" s="20" t="s">
        <v>668</v>
      </c>
      <c r="J482" s="6" t="s">
        <v>1312</v>
      </c>
      <c r="K482" s="6" t="s">
        <v>1313</v>
      </c>
      <c r="L482" s="6" t="s">
        <v>575</v>
      </c>
      <c r="M482" s="6" t="s">
        <v>576</v>
      </c>
      <c r="N482" s="6" t="s">
        <v>574</v>
      </c>
      <c r="O482" s="20" t="s">
        <v>933</v>
      </c>
      <c r="P482" s="20" t="s">
        <v>269</v>
      </c>
      <c r="Q482" s="22" t="s">
        <v>577</v>
      </c>
      <c r="R482" s="6" t="s">
        <v>1321</v>
      </c>
      <c r="S482" s="6" t="s">
        <v>1315</v>
      </c>
    </row>
    <row r="483" ht="45" customHeight="1" spans="1:19" x14ac:dyDescent="0.25">
      <c r="A483" s="20" t="s">
        <v>578</v>
      </c>
      <c r="B483" s="20" t="s">
        <v>579</v>
      </c>
      <c r="C483" s="6"/>
      <c r="D483" s="6"/>
      <c r="E483" s="20"/>
      <c r="F483" s="20"/>
      <c r="G483" s="20" t="s">
        <v>463</v>
      </c>
      <c r="H483" s="27"/>
      <c r="I483" s="20" t="s">
        <v>668</v>
      </c>
      <c r="J483" s="6"/>
      <c r="K483" s="6"/>
      <c r="L483" s="6"/>
      <c r="M483" s="6" t="s">
        <v>580</v>
      </c>
      <c r="N483" s="6" t="s">
        <v>463</v>
      </c>
      <c r="O483" s="20" t="s">
        <v>787</v>
      </c>
      <c r="P483" s="20" t="s">
        <v>297</v>
      </c>
      <c r="Q483" s="22" t="s">
        <v>581</v>
      </c>
      <c r="R483" s="6" t="s">
        <v>1322</v>
      </c>
      <c r="S483" s="6" t="s">
        <v>463</v>
      </c>
    </row>
    <row r="484" ht="45" customHeight="1" spans="1:19" x14ac:dyDescent="0.25">
      <c r="A484" s="20" t="s">
        <v>582</v>
      </c>
      <c r="B484" s="20" t="s">
        <v>583</v>
      </c>
      <c r="C484" s="6" t="s">
        <v>1323</v>
      </c>
      <c r="D484" s="6" t="s">
        <v>989</v>
      </c>
      <c r="E484" s="20">
        <v>3.5</v>
      </c>
      <c r="F484" s="20"/>
      <c r="G484" s="20" t="s">
        <v>716</v>
      </c>
      <c r="H484" s="27"/>
      <c r="I484" s="20"/>
      <c r="J484" s="6" t="s">
        <v>1324</v>
      </c>
      <c r="K484" s="6" t="s">
        <v>1325</v>
      </c>
      <c r="L484" s="6" t="s">
        <v>585</v>
      </c>
      <c r="M484" s="6" t="s">
        <v>586</v>
      </c>
      <c r="N484" s="6" t="s">
        <v>584</v>
      </c>
      <c r="O484" s="20" t="s">
        <v>1326</v>
      </c>
      <c r="P484" s="20" t="s">
        <v>236</v>
      </c>
      <c r="Q484" s="22" t="s">
        <v>588</v>
      </c>
      <c r="R484" s="6" t="s">
        <v>1327</v>
      </c>
      <c r="S484" s="6" t="s">
        <v>1328</v>
      </c>
    </row>
    <row r="485" ht="45" customHeight="1" spans="1:19" x14ac:dyDescent="0.25">
      <c r="A485" s="20" t="s">
        <v>582</v>
      </c>
      <c r="B485" s="20" t="s">
        <v>583</v>
      </c>
      <c r="C485" s="6" t="s">
        <v>1329</v>
      </c>
      <c r="D485" s="6" t="s">
        <v>1075</v>
      </c>
      <c r="E485" s="20">
        <v>7.5</v>
      </c>
      <c r="F485" s="20"/>
      <c r="G485" s="20" t="s">
        <v>667</v>
      </c>
      <c r="H485" s="27"/>
      <c r="I485" s="20"/>
      <c r="J485" s="6" t="s">
        <v>1330</v>
      </c>
      <c r="K485" s="6" t="s">
        <v>1331</v>
      </c>
      <c r="L485" s="6" t="s">
        <v>585</v>
      </c>
      <c r="M485" s="6" t="s">
        <v>586</v>
      </c>
      <c r="N485" s="6" t="s">
        <v>584</v>
      </c>
      <c r="O485" s="20" t="s">
        <v>1326</v>
      </c>
      <c r="P485" s="20" t="s">
        <v>236</v>
      </c>
      <c r="Q485" s="22" t="s">
        <v>588</v>
      </c>
      <c r="R485" s="6" t="s">
        <v>1332</v>
      </c>
      <c r="S485" s="6" t="s">
        <v>1333</v>
      </c>
    </row>
    <row r="486" ht="45" customHeight="1" spans="1:19" x14ac:dyDescent="0.25">
      <c r="A486" s="20" t="s">
        <v>582</v>
      </c>
      <c r="B486" s="20" t="s">
        <v>583</v>
      </c>
      <c r="C486" s="6" t="s">
        <v>1334</v>
      </c>
      <c r="D486" s="6" t="s">
        <v>1335</v>
      </c>
      <c r="E486" s="20">
        <v>3.5</v>
      </c>
      <c r="F486" s="20">
        <v>7.5</v>
      </c>
      <c r="G486" s="20" t="s">
        <v>706</v>
      </c>
      <c r="H486" s="27"/>
      <c r="I486" s="20"/>
      <c r="J486" s="6" t="s">
        <v>1336</v>
      </c>
      <c r="K486" s="6" t="s">
        <v>1337</v>
      </c>
      <c r="L486" s="6"/>
      <c r="M486" s="6" t="s">
        <v>586</v>
      </c>
      <c r="N486" s="6" t="s">
        <v>584</v>
      </c>
      <c r="O486" s="20" t="s">
        <v>1326</v>
      </c>
      <c r="P486" s="20" t="s">
        <v>236</v>
      </c>
      <c r="Q486" s="22" t="s">
        <v>588</v>
      </c>
      <c r="R486" s="6" t="s">
        <v>1327</v>
      </c>
      <c r="S486" s="6" t="s">
        <v>1338</v>
      </c>
    </row>
    <row r="487" ht="45" customHeight="1" spans="1:19" x14ac:dyDescent="0.25">
      <c r="A487" s="20" t="s">
        <v>582</v>
      </c>
      <c r="B487" s="20" t="s">
        <v>583</v>
      </c>
      <c r="C487" s="6" t="s">
        <v>1339</v>
      </c>
      <c r="D487" s="6" t="s">
        <v>1335</v>
      </c>
      <c r="E487" s="20">
        <v>3.5</v>
      </c>
      <c r="F487" s="20">
        <v>7.5</v>
      </c>
      <c r="G487" s="20" t="s">
        <v>667</v>
      </c>
      <c r="H487" s="27"/>
      <c r="I487" s="20"/>
      <c r="J487" s="6" t="s">
        <v>1340</v>
      </c>
      <c r="K487" s="6"/>
      <c r="L487" s="6" t="s">
        <v>585</v>
      </c>
      <c r="M487" s="6" t="s">
        <v>586</v>
      </c>
      <c r="N487" s="6" t="s">
        <v>584</v>
      </c>
      <c r="O487" s="20" t="s">
        <v>1326</v>
      </c>
      <c r="P487" s="20" t="s">
        <v>236</v>
      </c>
      <c r="Q487" s="22" t="s">
        <v>588</v>
      </c>
      <c r="R487" s="6" t="s">
        <v>1341</v>
      </c>
      <c r="S487" s="6" t="s">
        <v>1342</v>
      </c>
    </row>
    <row r="488" ht="45" customHeight="1" spans="1:19" x14ac:dyDescent="0.25">
      <c r="A488" s="20" t="s">
        <v>589</v>
      </c>
      <c r="B488" s="20" t="s">
        <v>589</v>
      </c>
      <c r="C488" s="6" t="s">
        <v>1343</v>
      </c>
      <c r="D488" s="6" t="s">
        <v>1311</v>
      </c>
      <c r="E488" s="20">
        <v>3.5</v>
      </c>
      <c r="F488" s="20">
        <v>7.5</v>
      </c>
      <c r="G488" s="20" t="s">
        <v>667</v>
      </c>
      <c r="H488" s="27">
        <v>30</v>
      </c>
      <c r="I488" s="20" t="s">
        <v>668</v>
      </c>
      <c r="J488" s="6" t="s">
        <v>1344</v>
      </c>
      <c r="K488" s="6" t="s">
        <v>1345</v>
      </c>
      <c r="L488" s="6" t="s">
        <v>592</v>
      </c>
      <c r="M488" s="6" t="s">
        <v>593</v>
      </c>
      <c r="N488" s="6" t="s">
        <v>591</v>
      </c>
      <c r="O488" s="20" t="s">
        <v>1346</v>
      </c>
      <c r="P488" s="20" t="s">
        <v>236</v>
      </c>
      <c r="Q488" s="22" t="s">
        <v>594</v>
      </c>
      <c r="R488" s="6" t="s">
        <v>1347</v>
      </c>
      <c r="S488" s="6" t="s">
        <v>1348</v>
      </c>
    </row>
    <row r="489" ht="45" customHeight="1" spans="1:19" x14ac:dyDescent="0.25">
      <c r="A489" s="20" t="s">
        <v>589</v>
      </c>
      <c r="B489" s="20" t="s">
        <v>589</v>
      </c>
      <c r="C489" s="6" t="s">
        <v>1343</v>
      </c>
      <c r="D489" s="6" t="s">
        <v>1311</v>
      </c>
      <c r="E489" s="20">
        <v>3.5</v>
      </c>
      <c r="F489" s="20">
        <v>7.5</v>
      </c>
      <c r="G489" s="20" t="s">
        <v>674</v>
      </c>
      <c r="H489" s="27">
        <v>300</v>
      </c>
      <c r="I489" s="20" t="s">
        <v>668</v>
      </c>
      <c r="J489" s="6" t="s">
        <v>1344</v>
      </c>
      <c r="K489" s="6" t="s">
        <v>1345</v>
      </c>
      <c r="L489" s="6" t="s">
        <v>592</v>
      </c>
      <c r="M489" s="6" t="s">
        <v>593</v>
      </c>
      <c r="N489" s="6" t="s">
        <v>591</v>
      </c>
      <c r="O489" s="20" t="s">
        <v>1346</v>
      </c>
      <c r="P489" s="20" t="s">
        <v>236</v>
      </c>
      <c r="Q489" s="22" t="s">
        <v>594</v>
      </c>
      <c r="R489" s="6" t="s">
        <v>1349</v>
      </c>
      <c r="S489" s="6" t="s">
        <v>1348</v>
      </c>
    </row>
    <row r="490" ht="45" customHeight="1" spans="1:19" x14ac:dyDescent="0.25">
      <c r="A490" s="20" t="s">
        <v>589</v>
      </c>
      <c r="B490" s="20" t="s">
        <v>589</v>
      </c>
      <c r="C490" s="6" t="s">
        <v>1343</v>
      </c>
      <c r="D490" s="6" t="s">
        <v>1311</v>
      </c>
      <c r="E490" s="20">
        <v>3.5</v>
      </c>
      <c r="F490" s="20">
        <v>7.5</v>
      </c>
      <c r="G490" s="20" t="s">
        <v>785</v>
      </c>
      <c r="H490" s="27">
        <v>600</v>
      </c>
      <c r="I490" s="20" t="s">
        <v>668</v>
      </c>
      <c r="J490" s="6" t="s">
        <v>1344</v>
      </c>
      <c r="K490" s="6" t="s">
        <v>1345</v>
      </c>
      <c r="L490" s="6" t="s">
        <v>592</v>
      </c>
      <c r="M490" s="6" t="s">
        <v>593</v>
      </c>
      <c r="N490" s="6" t="s">
        <v>591</v>
      </c>
      <c r="O490" s="20" t="s">
        <v>1346</v>
      </c>
      <c r="P490" s="20" t="s">
        <v>236</v>
      </c>
      <c r="Q490" s="22" t="s">
        <v>594</v>
      </c>
      <c r="R490" s="6" t="s">
        <v>1350</v>
      </c>
      <c r="S490" s="6" t="s">
        <v>1348</v>
      </c>
    </row>
    <row r="491" ht="45" customHeight="1" spans="1:19" x14ac:dyDescent="0.25">
      <c r="A491" s="20" t="s">
        <v>589</v>
      </c>
      <c r="B491" s="20" t="s">
        <v>589</v>
      </c>
      <c r="C491" s="6" t="s">
        <v>1343</v>
      </c>
      <c r="D491" s="6" t="s">
        <v>1311</v>
      </c>
      <c r="E491" s="20">
        <v>3.5</v>
      </c>
      <c r="F491" s="20">
        <v>7.5</v>
      </c>
      <c r="G491" s="20" t="s">
        <v>735</v>
      </c>
      <c r="H491" s="27">
        <v>1000</v>
      </c>
      <c r="I491" s="20" t="s">
        <v>668</v>
      </c>
      <c r="J491" s="6" t="s">
        <v>1344</v>
      </c>
      <c r="K491" s="6" t="s">
        <v>1345</v>
      </c>
      <c r="L491" s="6" t="s">
        <v>592</v>
      </c>
      <c r="M491" s="6" t="s">
        <v>593</v>
      </c>
      <c r="N491" s="6" t="s">
        <v>591</v>
      </c>
      <c r="O491" s="20" t="s">
        <v>1346</v>
      </c>
      <c r="P491" s="20" t="s">
        <v>236</v>
      </c>
      <c r="Q491" s="22" t="s">
        <v>594</v>
      </c>
      <c r="R491" s="6" t="s">
        <v>1351</v>
      </c>
      <c r="S491" s="6" t="s">
        <v>1348</v>
      </c>
    </row>
    <row r="492" ht="45" customHeight="1" spans="1:19" x14ac:dyDescent="0.25">
      <c r="A492" s="20" t="s">
        <v>589</v>
      </c>
      <c r="B492" s="20" t="s">
        <v>589</v>
      </c>
      <c r="C492" s="6" t="s">
        <v>1343</v>
      </c>
      <c r="D492" s="6" t="s">
        <v>1352</v>
      </c>
      <c r="E492" s="20">
        <v>7.51</v>
      </c>
      <c r="F492" s="20">
        <v>20</v>
      </c>
      <c r="G492" s="20" t="s">
        <v>667</v>
      </c>
      <c r="H492" s="27">
        <v>50</v>
      </c>
      <c r="I492" s="20" t="s">
        <v>668</v>
      </c>
      <c r="J492" s="6" t="s">
        <v>1344</v>
      </c>
      <c r="K492" s="6" t="s">
        <v>1345</v>
      </c>
      <c r="L492" s="6" t="s">
        <v>592</v>
      </c>
      <c r="M492" s="6" t="s">
        <v>593</v>
      </c>
      <c r="N492" s="6" t="s">
        <v>591</v>
      </c>
      <c r="O492" s="20" t="s">
        <v>1346</v>
      </c>
      <c r="P492" s="20" t="s">
        <v>236</v>
      </c>
      <c r="Q492" s="22" t="s">
        <v>594</v>
      </c>
      <c r="R492" s="6" t="s">
        <v>1347</v>
      </c>
      <c r="S492" s="6" t="s">
        <v>1348</v>
      </c>
    </row>
    <row r="493" ht="45" customHeight="1" spans="1:19" x14ac:dyDescent="0.25">
      <c r="A493" s="20" t="s">
        <v>589</v>
      </c>
      <c r="B493" s="20" t="s">
        <v>589</v>
      </c>
      <c r="C493" s="6" t="s">
        <v>1343</v>
      </c>
      <c r="D493" s="6" t="s">
        <v>1352</v>
      </c>
      <c r="E493" s="20">
        <v>7.51</v>
      </c>
      <c r="F493" s="20">
        <v>20</v>
      </c>
      <c r="G493" s="20" t="s">
        <v>674</v>
      </c>
      <c r="H493" s="27">
        <v>500</v>
      </c>
      <c r="I493" s="20" t="s">
        <v>668</v>
      </c>
      <c r="J493" s="6" t="s">
        <v>1344</v>
      </c>
      <c r="K493" s="6" t="s">
        <v>1345</v>
      </c>
      <c r="L493" s="6" t="s">
        <v>592</v>
      </c>
      <c r="M493" s="6" t="s">
        <v>593</v>
      </c>
      <c r="N493" s="6" t="s">
        <v>591</v>
      </c>
      <c r="O493" s="20" t="s">
        <v>1346</v>
      </c>
      <c r="P493" s="20" t="s">
        <v>236</v>
      </c>
      <c r="Q493" s="22" t="s">
        <v>594</v>
      </c>
      <c r="R493" s="6" t="s">
        <v>1349</v>
      </c>
      <c r="S493" s="6" t="s">
        <v>1348</v>
      </c>
    </row>
    <row r="494" ht="45" customHeight="1" spans="1:19" x14ac:dyDescent="0.25">
      <c r="A494" s="20" t="s">
        <v>589</v>
      </c>
      <c r="B494" s="20" t="s">
        <v>589</v>
      </c>
      <c r="C494" s="6" t="s">
        <v>1343</v>
      </c>
      <c r="D494" s="6" t="s">
        <v>1352</v>
      </c>
      <c r="E494" s="20">
        <v>7.51</v>
      </c>
      <c r="F494" s="20">
        <v>20</v>
      </c>
      <c r="G494" s="20" t="s">
        <v>785</v>
      </c>
      <c r="H494" s="27">
        <v>1000</v>
      </c>
      <c r="I494" s="20" t="s">
        <v>668</v>
      </c>
      <c r="J494" s="6" t="s">
        <v>1344</v>
      </c>
      <c r="K494" s="6" t="s">
        <v>1345</v>
      </c>
      <c r="L494" s="6" t="s">
        <v>592</v>
      </c>
      <c r="M494" s="6" t="s">
        <v>593</v>
      </c>
      <c r="N494" s="6" t="s">
        <v>591</v>
      </c>
      <c r="O494" s="20" t="s">
        <v>1346</v>
      </c>
      <c r="P494" s="20" t="s">
        <v>236</v>
      </c>
      <c r="Q494" s="22" t="s">
        <v>594</v>
      </c>
      <c r="R494" s="6" t="s">
        <v>1350</v>
      </c>
      <c r="S494" s="6" t="s">
        <v>1348</v>
      </c>
    </row>
    <row r="495" ht="45" customHeight="1" spans="1:19" x14ac:dyDescent="0.25">
      <c r="A495" s="20" t="s">
        <v>589</v>
      </c>
      <c r="B495" s="20" t="s">
        <v>589</v>
      </c>
      <c r="C495" s="6" t="s">
        <v>1343</v>
      </c>
      <c r="D495" s="6" t="s">
        <v>1352</v>
      </c>
      <c r="E495" s="20">
        <v>7.51</v>
      </c>
      <c r="F495" s="20">
        <v>20</v>
      </c>
      <c r="G495" s="20" t="s">
        <v>735</v>
      </c>
      <c r="H495" s="27">
        <v>1700</v>
      </c>
      <c r="I495" s="20" t="s">
        <v>668</v>
      </c>
      <c r="J495" s="6" t="s">
        <v>1344</v>
      </c>
      <c r="K495" s="6" t="s">
        <v>1345</v>
      </c>
      <c r="L495" s="6" t="s">
        <v>592</v>
      </c>
      <c r="M495" s="6" t="s">
        <v>593</v>
      </c>
      <c r="N495" s="6" t="s">
        <v>591</v>
      </c>
      <c r="O495" s="20" t="s">
        <v>1346</v>
      </c>
      <c r="P495" s="20" t="s">
        <v>236</v>
      </c>
      <c r="Q495" s="22" t="s">
        <v>594</v>
      </c>
      <c r="R495" s="6" t="s">
        <v>1351</v>
      </c>
      <c r="S495" s="6" t="s">
        <v>1348</v>
      </c>
    </row>
    <row r="496" ht="45" customHeight="1" spans="1:19" x14ac:dyDescent="0.25">
      <c r="A496" s="20" t="s">
        <v>589</v>
      </c>
      <c r="B496" s="20" t="s">
        <v>589</v>
      </c>
      <c r="C496" s="6" t="s">
        <v>1343</v>
      </c>
      <c r="D496" s="6" t="s">
        <v>1353</v>
      </c>
      <c r="E496" s="20">
        <v>20.1</v>
      </c>
      <c r="F496" s="20">
        <v>40</v>
      </c>
      <c r="G496" s="20" t="s">
        <v>667</v>
      </c>
      <c r="H496" s="27">
        <v>70</v>
      </c>
      <c r="I496" s="20" t="s">
        <v>668</v>
      </c>
      <c r="J496" s="6" t="s">
        <v>1344</v>
      </c>
      <c r="K496" s="6" t="s">
        <v>1345</v>
      </c>
      <c r="L496" s="6" t="s">
        <v>592</v>
      </c>
      <c r="M496" s="6" t="s">
        <v>593</v>
      </c>
      <c r="N496" s="6" t="s">
        <v>591</v>
      </c>
      <c r="O496" s="20" t="s">
        <v>1346</v>
      </c>
      <c r="P496" s="20" t="s">
        <v>236</v>
      </c>
      <c r="Q496" s="22" t="s">
        <v>594</v>
      </c>
      <c r="R496" s="6" t="s">
        <v>1347</v>
      </c>
      <c r="S496" s="6" t="s">
        <v>1348</v>
      </c>
    </row>
    <row r="497" ht="45" customHeight="1" spans="1:19" x14ac:dyDescent="0.25">
      <c r="A497" s="20" t="s">
        <v>589</v>
      </c>
      <c r="B497" s="20" t="s">
        <v>589</v>
      </c>
      <c r="C497" s="6" t="s">
        <v>1343</v>
      </c>
      <c r="D497" s="6" t="s">
        <v>1353</v>
      </c>
      <c r="E497" s="20">
        <v>20.1</v>
      </c>
      <c r="F497" s="20">
        <v>40</v>
      </c>
      <c r="G497" s="20" t="s">
        <v>674</v>
      </c>
      <c r="H497" s="27">
        <v>700</v>
      </c>
      <c r="I497" s="20" t="s">
        <v>668</v>
      </c>
      <c r="J497" s="6" t="s">
        <v>1344</v>
      </c>
      <c r="K497" s="6" t="s">
        <v>1345</v>
      </c>
      <c r="L497" s="6" t="s">
        <v>592</v>
      </c>
      <c r="M497" s="6" t="s">
        <v>593</v>
      </c>
      <c r="N497" s="6" t="s">
        <v>591</v>
      </c>
      <c r="O497" s="20" t="s">
        <v>1346</v>
      </c>
      <c r="P497" s="20" t="s">
        <v>236</v>
      </c>
      <c r="Q497" s="22" t="s">
        <v>594</v>
      </c>
      <c r="R497" s="6" t="s">
        <v>1349</v>
      </c>
      <c r="S497" s="6" t="s">
        <v>1348</v>
      </c>
    </row>
    <row r="498" ht="45" customHeight="1" spans="1:19" x14ac:dyDescent="0.25">
      <c r="A498" s="20" t="s">
        <v>589</v>
      </c>
      <c r="B498" s="20" t="s">
        <v>589</v>
      </c>
      <c r="C498" s="6" t="s">
        <v>1343</v>
      </c>
      <c r="D498" s="6" t="s">
        <v>1353</v>
      </c>
      <c r="E498" s="20">
        <v>20.1</v>
      </c>
      <c r="F498" s="20">
        <v>40</v>
      </c>
      <c r="G498" s="20" t="s">
        <v>785</v>
      </c>
      <c r="H498" s="27">
        <v>1400</v>
      </c>
      <c r="I498" s="20" t="s">
        <v>668</v>
      </c>
      <c r="J498" s="6" t="s">
        <v>1344</v>
      </c>
      <c r="K498" s="6" t="s">
        <v>1345</v>
      </c>
      <c r="L498" s="6" t="s">
        <v>592</v>
      </c>
      <c r="M498" s="6" t="s">
        <v>593</v>
      </c>
      <c r="N498" s="6" t="s">
        <v>591</v>
      </c>
      <c r="O498" s="20" t="s">
        <v>1346</v>
      </c>
      <c r="P498" s="20" t="s">
        <v>236</v>
      </c>
      <c r="Q498" s="22" t="s">
        <v>594</v>
      </c>
      <c r="R498" s="6" t="s">
        <v>1350</v>
      </c>
      <c r="S498" s="6" t="s">
        <v>1348</v>
      </c>
    </row>
    <row r="499" ht="45" customHeight="1" spans="1:19" x14ac:dyDescent="0.25">
      <c r="A499" s="20" t="s">
        <v>589</v>
      </c>
      <c r="B499" s="20" t="s">
        <v>589</v>
      </c>
      <c r="C499" s="6" t="s">
        <v>1343</v>
      </c>
      <c r="D499" s="6" t="s">
        <v>1353</v>
      </c>
      <c r="E499" s="20">
        <v>20.1</v>
      </c>
      <c r="F499" s="20">
        <v>40</v>
      </c>
      <c r="G499" s="20" t="s">
        <v>735</v>
      </c>
      <c r="H499" s="27">
        <v>2200</v>
      </c>
      <c r="I499" s="20" t="s">
        <v>668</v>
      </c>
      <c r="J499" s="6" t="s">
        <v>1344</v>
      </c>
      <c r="K499" s="6" t="s">
        <v>1345</v>
      </c>
      <c r="L499" s="6" t="s">
        <v>592</v>
      </c>
      <c r="M499" s="6" t="s">
        <v>593</v>
      </c>
      <c r="N499" s="6" t="s">
        <v>591</v>
      </c>
      <c r="O499" s="20" t="s">
        <v>1346</v>
      </c>
      <c r="P499" s="20" t="s">
        <v>236</v>
      </c>
      <c r="Q499" s="22" t="s">
        <v>594</v>
      </c>
      <c r="R499" s="6" t="s">
        <v>1351</v>
      </c>
      <c r="S499" s="6" t="s">
        <v>1348</v>
      </c>
    </row>
    <row r="500" ht="45" customHeight="1" spans="1:19" x14ac:dyDescent="0.25">
      <c r="A500" s="20" t="s">
        <v>589</v>
      </c>
      <c r="B500" s="20" t="s">
        <v>589</v>
      </c>
      <c r="C500" s="6" t="s">
        <v>1343</v>
      </c>
      <c r="D500" s="6" t="s">
        <v>688</v>
      </c>
      <c r="E500" s="20">
        <v>40</v>
      </c>
      <c r="F500" s="20"/>
      <c r="G500" s="20" t="s">
        <v>667</v>
      </c>
      <c r="H500" s="27">
        <v>100</v>
      </c>
      <c r="I500" s="20" t="s">
        <v>668</v>
      </c>
      <c r="J500" s="6" t="s">
        <v>1344</v>
      </c>
      <c r="K500" s="6" t="s">
        <v>1345</v>
      </c>
      <c r="L500" s="6" t="s">
        <v>592</v>
      </c>
      <c r="M500" s="6" t="s">
        <v>593</v>
      </c>
      <c r="N500" s="6" t="s">
        <v>591</v>
      </c>
      <c r="O500" s="20" t="s">
        <v>1346</v>
      </c>
      <c r="P500" s="20" t="s">
        <v>236</v>
      </c>
      <c r="Q500" s="22" t="s">
        <v>594</v>
      </c>
      <c r="R500" s="6" t="s">
        <v>1347</v>
      </c>
      <c r="S500" s="6" t="s">
        <v>1348</v>
      </c>
    </row>
    <row r="501" ht="45" customHeight="1" spans="1:19" x14ac:dyDescent="0.25">
      <c r="A501" s="20" t="s">
        <v>589</v>
      </c>
      <c r="B501" s="20" t="s">
        <v>589</v>
      </c>
      <c r="C501" s="6" t="s">
        <v>1343</v>
      </c>
      <c r="D501" s="6" t="s">
        <v>688</v>
      </c>
      <c r="E501" s="20">
        <v>40</v>
      </c>
      <c r="F501" s="20"/>
      <c r="G501" s="20" t="s">
        <v>674</v>
      </c>
      <c r="H501" s="27">
        <v>1000</v>
      </c>
      <c r="I501" s="20" t="s">
        <v>668</v>
      </c>
      <c r="J501" s="6" t="s">
        <v>1344</v>
      </c>
      <c r="K501" s="6" t="s">
        <v>1345</v>
      </c>
      <c r="L501" s="6" t="s">
        <v>592</v>
      </c>
      <c r="M501" s="6" t="s">
        <v>593</v>
      </c>
      <c r="N501" s="6" t="s">
        <v>591</v>
      </c>
      <c r="O501" s="20" t="s">
        <v>1346</v>
      </c>
      <c r="P501" s="20" t="s">
        <v>236</v>
      </c>
      <c r="Q501" s="22" t="s">
        <v>594</v>
      </c>
      <c r="R501" s="6" t="s">
        <v>1349</v>
      </c>
      <c r="S501" s="6" t="s">
        <v>1348</v>
      </c>
    </row>
    <row r="502" ht="45" customHeight="1" spans="1:19" x14ac:dyDescent="0.25">
      <c r="A502" s="20" t="s">
        <v>589</v>
      </c>
      <c r="B502" s="20" t="s">
        <v>589</v>
      </c>
      <c r="C502" s="6" t="s">
        <v>1343</v>
      </c>
      <c r="D502" s="6" t="s">
        <v>688</v>
      </c>
      <c r="E502" s="20">
        <v>40</v>
      </c>
      <c r="F502" s="20"/>
      <c r="G502" s="20" t="s">
        <v>785</v>
      </c>
      <c r="H502" s="27">
        <v>1800</v>
      </c>
      <c r="I502" s="20" t="s">
        <v>668</v>
      </c>
      <c r="J502" s="6" t="s">
        <v>1344</v>
      </c>
      <c r="K502" s="6" t="s">
        <v>1345</v>
      </c>
      <c r="L502" s="6" t="s">
        <v>592</v>
      </c>
      <c r="M502" s="6" t="s">
        <v>593</v>
      </c>
      <c r="N502" s="6" t="s">
        <v>591</v>
      </c>
      <c r="O502" s="20" t="s">
        <v>1346</v>
      </c>
      <c r="P502" s="20" t="s">
        <v>236</v>
      </c>
      <c r="Q502" s="22" t="s">
        <v>594</v>
      </c>
      <c r="R502" s="6" t="s">
        <v>1350</v>
      </c>
      <c r="S502" s="6" t="s">
        <v>1348</v>
      </c>
    </row>
    <row r="503" ht="45" customHeight="1" spans="1:19" x14ac:dyDescent="0.25">
      <c r="A503" s="20" t="s">
        <v>589</v>
      </c>
      <c r="B503" s="20" t="s">
        <v>589</v>
      </c>
      <c r="C503" s="6" t="s">
        <v>1343</v>
      </c>
      <c r="D503" s="6" t="s">
        <v>688</v>
      </c>
      <c r="E503" s="20">
        <v>40</v>
      </c>
      <c r="F503" s="20"/>
      <c r="G503" s="20" t="s">
        <v>735</v>
      </c>
      <c r="H503" s="27">
        <v>2500</v>
      </c>
      <c r="I503" s="20" t="s">
        <v>668</v>
      </c>
      <c r="J503" s="6" t="s">
        <v>1344</v>
      </c>
      <c r="K503" s="6" t="s">
        <v>1345</v>
      </c>
      <c r="L503" s="6" t="s">
        <v>592</v>
      </c>
      <c r="M503" s="6" t="s">
        <v>593</v>
      </c>
      <c r="N503" s="6" t="s">
        <v>591</v>
      </c>
      <c r="O503" s="20" t="s">
        <v>1346</v>
      </c>
      <c r="P503" s="20" t="s">
        <v>236</v>
      </c>
      <c r="Q503" s="22" t="s">
        <v>594</v>
      </c>
      <c r="R503" s="6" t="s">
        <v>1351</v>
      </c>
      <c r="S503" s="6" t="s">
        <v>1348</v>
      </c>
    </row>
    <row r="504" ht="45" customHeight="1" spans="1:19" x14ac:dyDescent="0.25">
      <c r="A504" s="20" t="s">
        <v>589</v>
      </c>
      <c r="B504" s="20" t="s">
        <v>589</v>
      </c>
      <c r="C504" s="6" t="s">
        <v>1354</v>
      </c>
      <c r="D504" s="6" t="s">
        <v>1311</v>
      </c>
      <c r="E504" s="20">
        <v>3.5</v>
      </c>
      <c r="F504" s="20">
        <v>7.5</v>
      </c>
      <c r="G504" s="20" t="s">
        <v>667</v>
      </c>
      <c r="H504" s="27">
        <v>30</v>
      </c>
      <c r="I504" s="20" t="s">
        <v>668</v>
      </c>
      <c r="J504" s="6" t="s">
        <v>1355</v>
      </c>
      <c r="K504" s="6" t="s">
        <v>1356</v>
      </c>
      <c r="L504" s="6" t="s">
        <v>592</v>
      </c>
      <c r="M504" s="6" t="s">
        <v>593</v>
      </c>
      <c r="N504" s="6" t="s">
        <v>591</v>
      </c>
      <c r="O504" s="20" t="s">
        <v>1346</v>
      </c>
      <c r="P504" s="20" t="s">
        <v>236</v>
      </c>
      <c r="Q504" s="22" t="s">
        <v>594</v>
      </c>
      <c r="R504" s="6" t="s">
        <v>1357</v>
      </c>
      <c r="S504" s="6" t="s">
        <v>1358</v>
      </c>
    </row>
    <row r="505" ht="45" customHeight="1" spans="1:19" x14ac:dyDescent="0.25">
      <c r="A505" s="20" t="s">
        <v>589</v>
      </c>
      <c r="B505" s="20" t="s">
        <v>589</v>
      </c>
      <c r="C505" s="6" t="s">
        <v>1354</v>
      </c>
      <c r="D505" s="6" t="s">
        <v>1352</v>
      </c>
      <c r="E505" s="20">
        <v>7.51</v>
      </c>
      <c r="F505" s="20">
        <v>20</v>
      </c>
      <c r="G505" s="20" t="s">
        <v>667</v>
      </c>
      <c r="H505" s="27">
        <v>50</v>
      </c>
      <c r="I505" s="20" t="s">
        <v>668</v>
      </c>
      <c r="J505" s="6" t="s">
        <v>1355</v>
      </c>
      <c r="K505" s="6" t="s">
        <v>1359</v>
      </c>
      <c r="L505" s="6" t="s">
        <v>592</v>
      </c>
      <c r="M505" s="6" t="s">
        <v>593</v>
      </c>
      <c r="N505" s="6" t="s">
        <v>591</v>
      </c>
      <c r="O505" s="20" t="s">
        <v>1346</v>
      </c>
      <c r="P505" s="20" t="s">
        <v>236</v>
      </c>
      <c r="Q505" s="22" t="s">
        <v>594</v>
      </c>
      <c r="R505" s="6" t="s">
        <v>1357</v>
      </c>
      <c r="S505" s="6" t="s">
        <v>1358</v>
      </c>
    </row>
    <row r="506" ht="45" customHeight="1" spans="1:19" x14ac:dyDescent="0.25">
      <c r="A506" s="20" t="s">
        <v>589</v>
      </c>
      <c r="B506" s="20" t="s">
        <v>589</v>
      </c>
      <c r="C506" s="6" t="s">
        <v>1354</v>
      </c>
      <c r="D506" s="6" t="s">
        <v>1353</v>
      </c>
      <c r="E506" s="20">
        <v>20.1</v>
      </c>
      <c r="F506" s="20">
        <v>40</v>
      </c>
      <c r="G506" s="20" t="s">
        <v>667</v>
      </c>
      <c r="H506" s="27">
        <v>70</v>
      </c>
      <c r="I506" s="20" t="s">
        <v>668</v>
      </c>
      <c r="J506" s="6" t="s">
        <v>1355</v>
      </c>
      <c r="K506" s="6" t="s">
        <v>1359</v>
      </c>
      <c r="L506" s="6" t="s">
        <v>592</v>
      </c>
      <c r="M506" s="6" t="s">
        <v>593</v>
      </c>
      <c r="N506" s="6" t="s">
        <v>591</v>
      </c>
      <c r="O506" s="20" t="s">
        <v>1346</v>
      </c>
      <c r="P506" s="20" t="s">
        <v>236</v>
      </c>
      <c r="Q506" s="22" t="s">
        <v>594</v>
      </c>
      <c r="R506" s="6" t="s">
        <v>1357</v>
      </c>
      <c r="S506" s="6" t="s">
        <v>1358</v>
      </c>
    </row>
    <row r="507" ht="45" customHeight="1" spans="1:19" x14ac:dyDescent="0.25">
      <c r="A507" s="20" t="s">
        <v>589</v>
      </c>
      <c r="B507" s="20" t="s">
        <v>589</v>
      </c>
      <c r="C507" s="6" t="s">
        <v>1354</v>
      </c>
      <c r="D507" s="6" t="s">
        <v>688</v>
      </c>
      <c r="E507" s="20">
        <v>40</v>
      </c>
      <c r="F507" s="20"/>
      <c r="G507" s="20" t="s">
        <v>667</v>
      </c>
      <c r="H507" s="27">
        <v>100</v>
      </c>
      <c r="I507" s="20" t="s">
        <v>668</v>
      </c>
      <c r="J507" s="6" t="s">
        <v>1355</v>
      </c>
      <c r="K507" s="6" t="s">
        <v>1359</v>
      </c>
      <c r="L507" s="6" t="s">
        <v>592</v>
      </c>
      <c r="M507" s="6" t="s">
        <v>593</v>
      </c>
      <c r="N507" s="6" t="s">
        <v>591</v>
      </c>
      <c r="O507" s="20" t="s">
        <v>1346</v>
      </c>
      <c r="P507" s="20" t="s">
        <v>236</v>
      </c>
      <c r="Q507" s="22" t="s">
        <v>594</v>
      </c>
      <c r="R507" s="6" t="s">
        <v>1357</v>
      </c>
      <c r="S507" s="6" t="s">
        <v>1358</v>
      </c>
    </row>
    <row r="508" ht="45" customHeight="1" spans="1:19" x14ac:dyDescent="0.25">
      <c r="A508" s="20" t="s">
        <v>589</v>
      </c>
      <c r="B508" s="20" t="s">
        <v>589</v>
      </c>
      <c r="C508" s="6" t="s">
        <v>1360</v>
      </c>
      <c r="D508" s="6" t="s">
        <v>989</v>
      </c>
      <c r="E508" s="20">
        <v>3.5</v>
      </c>
      <c r="F508" s="20"/>
      <c r="G508" s="20" t="s">
        <v>706</v>
      </c>
      <c r="H508" s="27"/>
      <c r="I508" s="20" t="s">
        <v>668</v>
      </c>
      <c r="J508" s="6"/>
      <c r="K508" s="6" t="s">
        <v>1361</v>
      </c>
      <c r="L508" s="6" t="s">
        <v>592</v>
      </c>
      <c r="M508" s="6" t="s">
        <v>593</v>
      </c>
      <c r="N508" s="6" t="s">
        <v>591</v>
      </c>
      <c r="O508" s="20" t="s">
        <v>1346</v>
      </c>
      <c r="P508" s="20" t="s">
        <v>236</v>
      </c>
      <c r="Q508" s="22" t="s">
        <v>594</v>
      </c>
      <c r="R508" s="6" t="s">
        <v>1362</v>
      </c>
      <c r="S508" s="6" t="s">
        <v>1363</v>
      </c>
    </row>
    <row r="509" ht="45" customHeight="1" spans="1:19" x14ac:dyDescent="0.25">
      <c r="A509" s="20" t="s">
        <v>595</v>
      </c>
      <c r="B509" s="20" t="s">
        <v>595</v>
      </c>
      <c r="C509" s="6" t="s">
        <v>412</v>
      </c>
      <c r="D509" s="6"/>
      <c r="E509" s="20"/>
      <c r="F509" s="20"/>
      <c r="G509" s="20" t="s">
        <v>463</v>
      </c>
      <c r="H509" s="27"/>
      <c r="I509" s="20"/>
      <c r="J509" s="6"/>
      <c r="K509" s="6"/>
      <c r="L509" s="6"/>
      <c r="M509" s="6"/>
      <c r="N509" s="6" t="s">
        <v>412</v>
      </c>
      <c r="O509" s="20" t="s">
        <v>791</v>
      </c>
      <c r="P509" s="20" t="s">
        <v>297</v>
      </c>
      <c r="Q509" s="20"/>
      <c r="R509" s="6" t="s">
        <v>1364</v>
      </c>
      <c r="S509" s="6"/>
    </row>
    <row r="510" ht="45" customHeight="1" spans="1:19" x14ac:dyDescent="0.25">
      <c r="A510" s="20" t="s">
        <v>597</v>
      </c>
      <c r="B510" s="20" t="s">
        <v>597</v>
      </c>
      <c r="C510" s="6" t="s">
        <v>1365</v>
      </c>
      <c r="D510" s="6" t="s">
        <v>1366</v>
      </c>
      <c r="E510" s="20">
        <v>3.5</v>
      </c>
      <c r="F510" s="20">
        <v>7.5</v>
      </c>
      <c r="G510" s="20" t="s">
        <v>667</v>
      </c>
      <c r="H510" s="27">
        <v>50</v>
      </c>
      <c r="I510" s="20" t="s">
        <v>668</v>
      </c>
      <c r="J510" s="6" t="s">
        <v>1367</v>
      </c>
      <c r="K510" s="6" t="s">
        <v>1368</v>
      </c>
      <c r="L510" s="6" t="s">
        <v>600</v>
      </c>
      <c r="M510" s="6" t="s">
        <v>601</v>
      </c>
      <c r="N510" s="6" t="s">
        <v>599</v>
      </c>
      <c r="O510" s="20" t="s">
        <v>1369</v>
      </c>
      <c r="P510" s="20" t="s">
        <v>269</v>
      </c>
      <c r="Q510" s="22" t="s">
        <v>603</v>
      </c>
      <c r="R510" s="6" t="s">
        <v>1370</v>
      </c>
      <c r="S510" s="6" t="s">
        <v>1371</v>
      </c>
    </row>
    <row r="511" ht="45" customHeight="1" spans="1:19" x14ac:dyDescent="0.25">
      <c r="A511" s="20" t="s">
        <v>597</v>
      </c>
      <c r="B511" s="20" t="s">
        <v>597</v>
      </c>
      <c r="C511" s="6" t="s">
        <v>1365</v>
      </c>
      <c r="D511" s="6" t="s">
        <v>1366</v>
      </c>
      <c r="E511" s="20">
        <v>3.5</v>
      </c>
      <c r="F511" s="20">
        <v>7.5</v>
      </c>
      <c r="G511" s="20" t="s">
        <v>674</v>
      </c>
      <c r="H511" s="27">
        <v>497</v>
      </c>
      <c r="I511" s="20" t="s">
        <v>668</v>
      </c>
      <c r="J511" s="6" t="s">
        <v>1367</v>
      </c>
      <c r="K511" s="6" t="s">
        <v>1368</v>
      </c>
      <c r="L511" s="6" t="s">
        <v>600</v>
      </c>
      <c r="M511" s="6" t="s">
        <v>601</v>
      </c>
      <c r="N511" s="6" t="s">
        <v>599</v>
      </c>
      <c r="O511" s="20" t="s">
        <v>1369</v>
      </c>
      <c r="P511" s="20" t="s">
        <v>269</v>
      </c>
      <c r="Q511" s="22" t="s">
        <v>603</v>
      </c>
      <c r="R511" s="6" t="s">
        <v>1372</v>
      </c>
      <c r="S511" s="6" t="s">
        <v>1371</v>
      </c>
    </row>
    <row r="512" ht="45" customHeight="1" spans="1:19" x14ac:dyDescent="0.25">
      <c r="A512" s="20" t="s">
        <v>597</v>
      </c>
      <c r="B512" s="20" t="s">
        <v>597</v>
      </c>
      <c r="C512" s="6" t="s">
        <v>1365</v>
      </c>
      <c r="D512" s="6" t="s">
        <v>1373</v>
      </c>
      <c r="E512" s="20">
        <v>7.5</v>
      </c>
      <c r="F512" s="20">
        <v>16</v>
      </c>
      <c r="G512" s="20" t="s">
        <v>667</v>
      </c>
      <c r="H512" s="27">
        <v>57</v>
      </c>
      <c r="I512" s="20" t="s">
        <v>668</v>
      </c>
      <c r="J512" s="6" t="s">
        <v>1367</v>
      </c>
      <c r="K512" s="6" t="s">
        <v>1368</v>
      </c>
      <c r="L512" s="6" t="s">
        <v>600</v>
      </c>
      <c r="M512" s="6" t="s">
        <v>601</v>
      </c>
      <c r="N512" s="6" t="s">
        <v>599</v>
      </c>
      <c r="O512" s="20" t="s">
        <v>1374</v>
      </c>
      <c r="P512" s="20" t="s">
        <v>269</v>
      </c>
      <c r="Q512" s="22" t="s">
        <v>603</v>
      </c>
      <c r="R512" s="6" t="s">
        <v>1375</v>
      </c>
      <c r="S512" s="6" t="s">
        <v>1371</v>
      </c>
    </row>
    <row r="513" ht="45" customHeight="1" spans="1:19" x14ac:dyDescent="0.25">
      <c r="A513" s="20" t="s">
        <v>597</v>
      </c>
      <c r="B513" s="20" t="s">
        <v>597</v>
      </c>
      <c r="C513" s="6" t="s">
        <v>1365</v>
      </c>
      <c r="D513" s="6" t="s">
        <v>1373</v>
      </c>
      <c r="E513" s="20">
        <v>7.5</v>
      </c>
      <c r="F513" s="20">
        <v>16</v>
      </c>
      <c r="G513" s="20" t="s">
        <v>674</v>
      </c>
      <c r="H513" s="27">
        <v>569</v>
      </c>
      <c r="I513" s="20" t="s">
        <v>668</v>
      </c>
      <c r="J513" s="6" t="s">
        <v>1367</v>
      </c>
      <c r="K513" s="6" t="s">
        <v>1368</v>
      </c>
      <c r="L513" s="6" t="s">
        <v>600</v>
      </c>
      <c r="M513" s="6" t="s">
        <v>601</v>
      </c>
      <c r="N513" s="6" t="s">
        <v>599</v>
      </c>
      <c r="O513" s="20" t="s">
        <v>1374</v>
      </c>
      <c r="P513" s="20" t="s">
        <v>269</v>
      </c>
      <c r="Q513" s="22" t="s">
        <v>603</v>
      </c>
      <c r="R513" s="6" t="s">
        <v>1376</v>
      </c>
      <c r="S513" s="6" t="s">
        <v>1371</v>
      </c>
    </row>
    <row r="514" ht="45" customHeight="1" spans="1:19" x14ac:dyDescent="0.25">
      <c r="A514" s="20" t="s">
        <v>597</v>
      </c>
      <c r="B514" s="20" t="s">
        <v>597</v>
      </c>
      <c r="C514" s="6" t="s">
        <v>1365</v>
      </c>
      <c r="D514" s="6" t="s">
        <v>1377</v>
      </c>
      <c r="E514" s="20">
        <v>16</v>
      </c>
      <c r="F514" s="20">
        <v>26</v>
      </c>
      <c r="G514" s="20" t="s">
        <v>667</v>
      </c>
      <c r="H514" s="27">
        <v>85</v>
      </c>
      <c r="I514" s="20" t="s">
        <v>668</v>
      </c>
      <c r="J514" s="6" t="s">
        <v>1367</v>
      </c>
      <c r="K514" s="6" t="s">
        <v>1368</v>
      </c>
      <c r="L514" s="6" t="s">
        <v>600</v>
      </c>
      <c r="M514" s="6" t="s">
        <v>601</v>
      </c>
      <c r="N514" s="6" t="s">
        <v>599</v>
      </c>
      <c r="O514" s="20" t="s">
        <v>1374</v>
      </c>
      <c r="P514" s="20" t="s">
        <v>269</v>
      </c>
      <c r="Q514" s="22" t="s">
        <v>603</v>
      </c>
      <c r="R514" s="6" t="s">
        <v>1378</v>
      </c>
      <c r="S514" s="6" t="s">
        <v>1371</v>
      </c>
    </row>
    <row r="515" ht="45" customHeight="1" spans="1:19" x14ac:dyDescent="0.25">
      <c r="A515" s="20" t="s">
        <v>597</v>
      </c>
      <c r="B515" s="20" t="s">
        <v>597</v>
      </c>
      <c r="C515" s="6" t="s">
        <v>1365</v>
      </c>
      <c r="D515" s="6" t="s">
        <v>1377</v>
      </c>
      <c r="E515" s="20">
        <v>16</v>
      </c>
      <c r="F515" s="20">
        <v>26</v>
      </c>
      <c r="G515" s="20" t="s">
        <v>674</v>
      </c>
      <c r="H515" s="27">
        <v>854</v>
      </c>
      <c r="I515" s="20" t="s">
        <v>668</v>
      </c>
      <c r="J515" s="6" t="s">
        <v>1367</v>
      </c>
      <c r="K515" s="6" t="s">
        <v>1368</v>
      </c>
      <c r="L515" s="6" t="s">
        <v>600</v>
      </c>
      <c r="M515" s="6" t="s">
        <v>601</v>
      </c>
      <c r="N515" s="6" t="s">
        <v>599</v>
      </c>
      <c r="O515" s="20" t="s">
        <v>1374</v>
      </c>
      <c r="P515" s="20" t="s">
        <v>269</v>
      </c>
      <c r="Q515" s="22" t="s">
        <v>603</v>
      </c>
      <c r="R515" s="6" t="s">
        <v>1379</v>
      </c>
      <c r="S515" s="6" t="s">
        <v>1371</v>
      </c>
    </row>
    <row r="516" ht="45" customHeight="1" spans="1:19" x14ac:dyDescent="0.25">
      <c r="A516" s="20" t="s">
        <v>597</v>
      </c>
      <c r="B516" s="20" t="s">
        <v>597</v>
      </c>
      <c r="C516" s="6" t="s">
        <v>1365</v>
      </c>
      <c r="D516" s="6" t="s">
        <v>1380</v>
      </c>
      <c r="E516" s="20">
        <v>26</v>
      </c>
      <c r="F516" s="20">
        <v>40</v>
      </c>
      <c r="G516" s="20" t="s">
        <v>667</v>
      </c>
      <c r="H516" s="27">
        <v>114</v>
      </c>
      <c r="I516" s="20" t="s">
        <v>668</v>
      </c>
      <c r="J516" s="6" t="s">
        <v>1367</v>
      </c>
      <c r="K516" s="6" t="s">
        <v>1368</v>
      </c>
      <c r="L516" s="6" t="s">
        <v>600</v>
      </c>
      <c r="M516" s="6" t="s">
        <v>601</v>
      </c>
      <c r="N516" s="6" t="s">
        <v>599</v>
      </c>
      <c r="O516" s="20" t="s">
        <v>1374</v>
      </c>
      <c r="P516" s="20" t="s">
        <v>269</v>
      </c>
      <c r="Q516" s="22" t="s">
        <v>603</v>
      </c>
      <c r="R516" s="6" t="s">
        <v>1381</v>
      </c>
      <c r="S516" s="6" t="s">
        <v>1371</v>
      </c>
    </row>
    <row r="517" ht="45" customHeight="1" spans="1:19" x14ac:dyDescent="0.25">
      <c r="A517" s="20" t="s">
        <v>597</v>
      </c>
      <c r="B517" s="20" t="s">
        <v>597</v>
      </c>
      <c r="C517" s="6" t="s">
        <v>1365</v>
      </c>
      <c r="D517" s="6" t="s">
        <v>1380</v>
      </c>
      <c r="E517" s="20">
        <v>26</v>
      </c>
      <c r="F517" s="20">
        <v>40</v>
      </c>
      <c r="G517" s="20" t="s">
        <v>674</v>
      </c>
      <c r="H517" s="27">
        <v>1138</v>
      </c>
      <c r="I517" s="20" t="s">
        <v>668</v>
      </c>
      <c r="J517" s="6" t="s">
        <v>1367</v>
      </c>
      <c r="K517" s="6" t="s">
        <v>1368</v>
      </c>
      <c r="L517" s="6" t="s">
        <v>600</v>
      </c>
      <c r="M517" s="6" t="s">
        <v>601</v>
      </c>
      <c r="N517" s="6" t="s">
        <v>599</v>
      </c>
      <c r="O517" s="20" t="s">
        <v>1374</v>
      </c>
      <c r="P517" s="20" t="s">
        <v>269</v>
      </c>
      <c r="Q517" s="22" t="s">
        <v>603</v>
      </c>
      <c r="R517" s="6" t="s">
        <v>1382</v>
      </c>
      <c r="S517" s="6" t="s">
        <v>1371</v>
      </c>
    </row>
    <row r="518" ht="45" customHeight="1" spans="1:19" x14ac:dyDescent="0.25">
      <c r="A518" s="20" t="s">
        <v>597</v>
      </c>
      <c r="B518" s="20" t="s">
        <v>597</v>
      </c>
      <c r="C518" s="6" t="s">
        <v>1365</v>
      </c>
      <c r="D518" s="6" t="s">
        <v>688</v>
      </c>
      <c r="E518" s="20">
        <v>40</v>
      </c>
      <c r="F518" s="20"/>
      <c r="G518" s="20" t="s">
        <v>667</v>
      </c>
      <c r="H518" s="27">
        <v>166</v>
      </c>
      <c r="I518" s="20" t="s">
        <v>668</v>
      </c>
      <c r="J518" s="6" t="s">
        <v>1367</v>
      </c>
      <c r="K518" s="6" t="s">
        <v>1368</v>
      </c>
      <c r="L518" s="6" t="s">
        <v>600</v>
      </c>
      <c r="M518" s="6" t="s">
        <v>601</v>
      </c>
      <c r="N518" s="6" t="s">
        <v>599</v>
      </c>
      <c r="O518" s="20" t="s">
        <v>1369</v>
      </c>
      <c r="P518" s="20" t="s">
        <v>269</v>
      </c>
      <c r="Q518" s="22" t="s">
        <v>603</v>
      </c>
      <c r="R518" s="6" t="s">
        <v>1383</v>
      </c>
      <c r="S518" s="6" t="s">
        <v>1371</v>
      </c>
    </row>
    <row r="519" ht="45" customHeight="1" spans="1:19" x14ac:dyDescent="0.25">
      <c r="A519" s="20" t="s">
        <v>597</v>
      </c>
      <c r="B519" s="20" t="s">
        <v>597</v>
      </c>
      <c r="C519" s="6" t="s">
        <v>1365</v>
      </c>
      <c r="D519" s="6" t="s">
        <v>688</v>
      </c>
      <c r="E519" s="20">
        <v>40</v>
      </c>
      <c r="F519" s="20"/>
      <c r="G519" s="20" t="s">
        <v>674</v>
      </c>
      <c r="H519" s="27">
        <v>1659</v>
      </c>
      <c r="I519" s="20" t="s">
        <v>668</v>
      </c>
      <c r="J519" s="6" t="s">
        <v>1367</v>
      </c>
      <c r="K519" s="6" t="s">
        <v>1368</v>
      </c>
      <c r="L519" s="6" t="s">
        <v>600</v>
      </c>
      <c r="M519" s="6" t="s">
        <v>601</v>
      </c>
      <c r="N519" s="6" t="s">
        <v>599</v>
      </c>
      <c r="O519" s="20" t="s">
        <v>1369</v>
      </c>
      <c r="P519" s="20" t="s">
        <v>269</v>
      </c>
      <c r="Q519" s="22" t="s">
        <v>603</v>
      </c>
      <c r="R519" s="6" t="s">
        <v>1384</v>
      </c>
      <c r="S519" s="6" t="s">
        <v>1371</v>
      </c>
    </row>
    <row r="520" ht="45" customHeight="1" spans="1:19" x14ac:dyDescent="0.25">
      <c r="A520" s="20" t="s">
        <v>604</v>
      </c>
      <c r="B520" s="20" t="s">
        <v>605</v>
      </c>
      <c r="C520" s="6" t="s">
        <v>1385</v>
      </c>
      <c r="D520" s="6" t="s">
        <v>1386</v>
      </c>
      <c r="E520" s="20">
        <v>3.5</v>
      </c>
      <c r="F520" s="20">
        <v>7.5</v>
      </c>
      <c r="G520" s="20" t="s">
        <v>667</v>
      </c>
      <c r="H520" s="27">
        <v>100</v>
      </c>
      <c r="I520" s="20" t="s">
        <v>668</v>
      </c>
      <c r="J520" s="6" t="s">
        <v>1387</v>
      </c>
      <c r="K520" s="6" t="s">
        <v>1388</v>
      </c>
      <c r="L520" s="6" t="s">
        <v>608</v>
      </c>
      <c r="M520" s="6" t="s">
        <v>609</v>
      </c>
      <c r="N520" s="6" t="s">
        <v>607</v>
      </c>
      <c r="O520" s="20" t="s">
        <v>1389</v>
      </c>
      <c r="P520" s="20" t="s">
        <v>297</v>
      </c>
      <c r="Q520" s="22" t="s">
        <v>611</v>
      </c>
      <c r="R520" s="6" t="s">
        <v>1390</v>
      </c>
      <c r="S520" s="6" t="s">
        <v>1391</v>
      </c>
    </row>
    <row r="521" ht="45" customHeight="1" spans="1:19" x14ac:dyDescent="0.25">
      <c r="A521" s="20" t="s">
        <v>604</v>
      </c>
      <c r="B521" s="20" t="s">
        <v>605</v>
      </c>
      <c r="C521" s="6" t="s">
        <v>1385</v>
      </c>
      <c r="D521" s="6" t="s">
        <v>1386</v>
      </c>
      <c r="E521" s="20">
        <v>3.5</v>
      </c>
      <c r="F521" s="20">
        <v>7.5</v>
      </c>
      <c r="G521" s="20" t="s">
        <v>674</v>
      </c>
      <c r="H521" s="27">
        <v>400</v>
      </c>
      <c r="I521" s="20" t="s">
        <v>668</v>
      </c>
      <c r="J521" s="6" t="s">
        <v>1387</v>
      </c>
      <c r="K521" s="6" t="s">
        <v>1388</v>
      </c>
      <c r="L521" s="6" t="s">
        <v>608</v>
      </c>
      <c r="M521" s="6" t="s">
        <v>609</v>
      </c>
      <c r="N521" s="6" t="s">
        <v>607</v>
      </c>
      <c r="O521" s="20" t="s">
        <v>1389</v>
      </c>
      <c r="P521" s="20" t="s">
        <v>297</v>
      </c>
      <c r="Q521" s="22" t="s">
        <v>611</v>
      </c>
      <c r="R521" s="6" t="s">
        <v>1390</v>
      </c>
      <c r="S521" s="6" t="s">
        <v>1391</v>
      </c>
    </row>
    <row r="522" ht="45" customHeight="1" spans="1:19" x14ac:dyDescent="0.25">
      <c r="A522" s="20" t="s">
        <v>604</v>
      </c>
      <c r="B522" s="20" t="s">
        <v>605</v>
      </c>
      <c r="C522" s="6" t="s">
        <v>1385</v>
      </c>
      <c r="D522" s="6" t="s">
        <v>1386</v>
      </c>
      <c r="E522" s="20">
        <v>3.5</v>
      </c>
      <c r="F522" s="20">
        <v>7.5</v>
      </c>
      <c r="G522" s="20" t="s">
        <v>735</v>
      </c>
      <c r="H522" s="27">
        <v>4000</v>
      </c>
      <c r="I522" s="20" t="s">
        <v>668</v>
      </c>
      <c r="J522" s="6" t="s">
        <v>1387</v>
      </c>
      <c r="K522" s="6" t="s">
        <v>1388</v>
      </c>
      <c r="L522" s="6" t="s">
        <v>608</v>
      </c>
      <c r="M522" s="6" t="s">
        <v>609</v>
      </c>
      <c r="N522" s="6" t="s">
        <v>607</v>
      </c>
      <c r="O522" s="20" t="s">
        <v>1389</v>
      </c>
      <c r="P522" s="20" t="s">
        <v>297</v>
      </c>
      <c r="Q522" s="22" t="s">
        <v>611</v>
      </c>
      <c r="R522" s="6" t="s">
        <v>1390</v>
      </c>
      <c r="S522" s="6" t="s">
        <v>1391</v>
      </c>
    </row>
    <row r="523" ht="45" customHeight="1" spans="1:19" x14ac:dyDescent="0.25">
      <c r="A523" s="20" t="s">
        <v>604</v>
      </c>
      <c r="B523" s="20" t="s">
        <v>605</v>
      </c>
      <c r="C523" s="6" t="s">
        <v>936</v>
      </c>
      <c r="D523" s="6" t="s">
        <v>1392</v>
      </c>
      <c r="E523" s="20">
        <v>3.5</v>
      </c>
      <c r="F523" s="20"/>
      <c r="G523" s="20" t="s">
        <v>667</v>
      </c>
      <c r="H523" s="27">
        <v>50</v>
      </c>
      <c r="I523" s="20" t="s">
        <v>668</v>
      </c>
      <c r="J523" s="6" t="s">
        <v>1393</v>
      </c>
      <c r="K523" s="6" t="s">
        <v>1394</v>
      </c>
      <c r="L523" s="6" t="s">
        <v>608</v>
      </c>
      <c r="M523" s="6" t="s">
        <v>609</v>
      </c>
      <c r="N523" s="6" t="s">
        <v>607</v>
      </c>
      <c r="O523" s="20" t="s">
        <v>1389</v>
      </c>
      <c r="P523" s="20" t="s">
        <v>297</v>
      </c>
      <c r="Q523" s="22" t="s">
        <v>611</v>
      </c>
      <c r="R523" s="6" t="s">
        <v>1390</v>
      </c>
      <c r="S523" s="6" t="s">
        <v>1395</v>
      </c>
    </row>
    <row r="524" ht="45" customHeight="1" spans="1:19" x14ac:dyDescent="0.25">
      <c r="A524" s="20" t="s">
        <v>604</v>
      </c>
      <c r="B524" s="20" t="s">
        <v>605</v>
      </c>
      <c r="C524" s="6" t="s">
        <v>936</v>
      </c>
      <c r="D524" s="6" t="s">
        <v>1392</v>
      </c>
      <c r="E524" s="20">
        <v>3.5</v>
      </c>
      <c r="F524" s="20"/>
      <c r="G524" s="20" t="s">
        <v>674</v>
      </c>
      <c r="H524" s="27">
        <v>200</v>
      </c>
      <c r="I524" s="20" t="s">
        <v>668</v>
      </c>
      <c r="J524" s="6" t="s">
        <v>1393</v>
      </c>
      <c r="K524" s="6" t="s">
        <v>1394</v>
      </c>
      <c r="L524" s="6" t="s">
        <v>608</v>
      </c>
      <c r="M524" s="6" t="s">
        <v>609</v>
      </c>
      <c r="N524" s="6" t="s">
        <v>607</v>
      </c>
      <c r="O524" s="20" t="s">
        <v>1389</v>
      </c>
      <c r="P524" s="20" t="s">
        <v>297</v>
      </c>
      <c r="Q524" s="22" t="s">
        <v>611</v>
      </c>
      <c r="R524" s="6" t="s">
        <v>1390</v>
      </c>
      <c r="S524" s="6" t="s">
        <v>1395</v>
      </c>
    </row>
    <row r="525" ht="45" customHeight="1" spans="1:19" x14ac:dyDescent="0.25">
      <c r="A525" s="20" t="s">
        <v>604</v>
      </c>
      <c r="B525" s="20" t="s">
        <v>605</v>
      </c>
      <c r="C525" s="6" t="s">
        <v>936</v>
      </c>
      <c r="D525" s="6" t="s">
        <v>1392</v>
      </c>
      <c r="E525" s="20">
        <v>3.5</v>
      </c>
      <c r="F525" s="20"/>
      <c r="G525" s="20" t="s">
        <v>735</v>
      </c>
      <c r="H525" s="27">
        <v>2000</v>
      </c>
      <c r="I525" s="20" t="s">
        <v>668</v>
      </c>
      <c r="J525" s="6" t="s">
        <v>1393</v>
      </c>
      <c r="K525" s="6" t="s">
        <v>1394</v>
      </c>
      <c r="L525" s="6" t="s">
        <v>608</v>
      </c>
      <c r="M525" s="6" t="s">
        <v>609</v>
      </c>
      <c r="N525" s="6" t="s">
        <v>607</v>
      </c>
      <c r="O525" s="20" t="s">
        <v>1389</v>
      </c>
      <c r="P525" s="20" t="s">
        <v>297</v>
      </c>
      <c r="Q525" s="22" t="s">
        <v>611</v>
      </c>
      <c r="R525" s="6" t="s">
        <v>1390</v>
      </c>
      <c r="S525" s="6" t="s">
        <v>1395</v>
      </c>
    </row>
    <row r="526" ht="45" customHeight="1" spans="1:19" x14ac:dyDescent="0.25">
      <c r="A526" s="20" t="s">
        <v>604</v>
      </c>
      <c r="B526" s="20" t="s">
        <v>605</v>
      </c>
      <c r="C526" s="6" t="s">
        <v>1396</v>
      </c>
      <c r="D526" s="6" t="s">
        <v>1397</v>
      </c>
      <c r="E526" s="20">
        <v>7.5</v>
      </c>
      <c r="F526" s="20"/>
      <c r="G526" s="20" t="s">
        <v>667</v>
      </c>
      <c r="H526" s="27">
        <v>25</v>
      </c>
      <c r="I526" s="20" t="s">
        <v>668</v>
      </c>
      <c r="J526" s="6"/>
      <c r="K526" s="6" t="s">
        <v>1398</v>
      </c>
      <c r="L526" s="6" t="s">
        <v>608</v>
      </c>
      <c r="M526" s="6" t="s">
        <v>609</v>
      </c>
      <c r="N526" s="6" t="s">
        <v>607</v>
      </c>
      <c r="O526" s="20" t="s">
        <v>1389</v>
      </c>
      <c r="P526" s="20" t="s">
        <v>297</v>
      </c>
      <c r="Q526" s="22" t="s">
        <v>611</v>
      </c>
      <c r="R526" s="6" t="s">
        <v>1390</v>
      </c>
      <c r="S526" s="6" t="s">
        <v>1399</v>
      </c>
    </row>
    <row r="527" ht="45" customHeight="1" spans="1:19" x14ac:dyDescent="0.25">
      <c r="A527" s="20" t="s">
        <v>604</v>
      </c>
      <c r="B527" s="20" t="s">
        <v>605</v>
      </c>
      <c r="C527" s="6" t="s">
        <v>1396</v>
      </c>
      <c r="D527" s="6" t="s">
        <v>1397</v>
      </c>
      <c r="E527" s="20">
        <v>7.5</v>
      </c>
      <c r="F527" s="20"/>
      <c r="G527" s="20" t="s">
        <v>674</v>
      </c>
      <c r="H527" s="27">
        <v>100</v>
      </c>
      <c r="I527" s="20" t="s">
        <v>668</v>
      </c>
      <c r="J527" s="6"/>
      <c r="K527" s="6" t="s">
        <v>1398</v>
      </c>
      <c r="L527" s="6" t="s">
        <v>608</v>
      </c>
      <c r="M527" s="6" t="s">
        <v>609</v>
      </c>
      <c r="N527" s="6" t="s">
        <v>607</v>
      </c>
      <c r="O527" s="20" t="s">
        <v>1389</v>
      </c>
      <c r="P527" s="20" t="s">
        <v>297</v>
      </c>
      <c r="Q527" s="22" t="s">
        <v>611</v>
      </c>
      <c r="R527" s="6" t="s">
        <v>1390</v>
      </c>
      <c r="S527" s="6" t="s">
        <v>1399</v>
      </c>
    </row>
    <row r="528" ht="45" customHeight="1" spans="1:19" x14ac:dyDescent="0.25">
      <c r="A528" s="20" t="s">
        <v>604</v>
      </c>
      <c r="B528" s="20" t="s">
        <v>605</v>
      </c>
      <c r="C528" s="6" t="s">
        <v>1396</v>
      </c>
      <c r="D528" s="6" t="s">
        <v>1397</v>
      </c>
      <c r="E528" s="20">
        <v>7.5</v>
      </c>
      <c r="F528" s="20"/>
      <c r="G528" s="20" t="s">
        <v>735</v>
      </c>
      <c r="H528" s="27">
        <v>1000</v>
      </c>
      <c r="I528" s="20" t="s">
        <v>668</v>
      </c>
      <c r="J528" s="6"/>
      <c r="K528" s="6" t="s">
        <v>1398</v>
      </c>
      <c r="L528" s="6" t="s">
        <v>608</v>
      </c>
      <c r="M528" s="6" t="s">
        <v>609</v>
      </c>
      <c r="N528" s="6" t="s">
        <v>607</v>
      </c>
      <c r="O528" s="20" t="s">
        <v>1389</v>
      </c>
      <c r="P528" s="20" t="s">
        <v>297</v>
      </c>
      <c r="Q528" s="22" t="s">
        <v>611</v>
      </c>
      <c r="R528" s="6" t="s">
        <v>1390</v>
      </c>
      <c r="S528" s="6" t="s">
        <v>1399</v>
      </c>
    </row>
    <row r="529" ht="45" customHeight="1" spans="1:19" x14ac:dyDescent="0.25">
      <c r="A529" s="20" t="s">
        <v>604</v>
      </c>
      <c r="B529" s="20" t="s">
        <v>605</v>
      </c>
      <c r="C529" s="6" t="s">
        <v>1400</v>
      </c>
      <c r="D529" s="6" t="s">
        <v>1397</v>
      </c>
      <c r="E529" s="20">
        <v>7.5</v>
      </c>
      <c r="F529" s="20"/>
      <c r="G529" s="20" t="s">
        <v>667</v>
      </c>
      <c r="H529" s="27">
        <v>25</v>
      </c>
      <c r="I529" s="20" t="s">
        <v>668</v>
      </c>
      <c r="J529" s="6"/>
      <c r="K529" s="6" t="s">
        <v>1401</v>
      </c>
      <c r="L529" s="6" t="s">
        <v>608</v>
      </c>
      <c r="M529" s="6" t="s">
        <v>609</v>
      </c>
      <c r="N529" s="6" t="s">
        <v>607</v>
      </c>
      <c r="O529" s="20" t="s">
        <v>1389</v>
      </c>
      <c r="P529" s="20" t="s">
        <v>297</v>
      </c>
      <c r="Q529" s="22" t="s">
        <v>611</v>
      </c>
      <c r="R529" s="6" t="s">
        <v>1390</v>
      </c>
      <c r="S529" s="6" t="s">
        <v>1402</v>
      </c>
    </row>
    <row r="530" ht="45" customHeight="1" spans="1:19" x14ac:dyDescent="0.25">
      <c r="A530" s="20" t="s">
        <v>604</v>
      </c>
      <c r="B530" s="20" t="s">
        <v>605</v>
      </c>
      <c r="C530" s="6" t="s">
        <v>1400</v>
      </c>
      <c r="D530" s="6" t="s">
        <v>1397</v>
      </c>
      <c r="E530" s="20">
        <v>7.5</v>
      </c>
      <c r="F530" s="20"/>
      <c r="G530" s="20" t="s">
        <v>674</v>
      </c>
      <c r="H530" s="27">
        <v>100</v>
      </c>
      <c r="I530" s="20" t="s">
        <v>668</v>
      </c>
      <c r="J530" s="6"/>
      <c r="K530" s="6" t="s">
        <v>1401</v>
      </c>
      <c r="L530" s="6" t="s">
        <v>608</v>
      </c>
      <c r="M530" s="6" t="s">
        <v>609</v>
      </c>
      <c r="N530" s="6" t="s">
        <v>607</v>
      </c>
      <c r="O530" s="20" t="s">
        <v>1389</v>
      </c>
      <c r="P530" s="20" t="s">
        <v>297</v>
      </c>
      <c r="Q530" s="22" t="s">
        <v>611</v>
      </c>
      <c r="R530" s="6" t="s">
        <v>1390</v>
      </c>
      <c r="S530" s="6" t="s">
        <v>1402</v>
      </c>
    </row>
    <row r="531" ht="45" customHeight="1" spans="1:19" x14ac:dyDescent="0.25">
      <c r="A531" s="20" t="s">
        <v>604</v>
      </c>
      <c r="B531" s="20" t="s">
        <v>605</v>
      </c>
      <c r="C531" s="6" t="s">
        <v>1400</v>
      </c>
      <c r="D531" s="6" t="s">
        <v>1397</v>
      </c>
      <c r="E531" s="20">
        <v>7.5</v>
      </c>
      <c r="F531" s="20"/>
      <c r="G531" s="20" t="s">
        <v>735</v>
      </c>
      <c r="H531" s="27">
        <v>1000</v>
      </c>
      <c r="I531" s="20" t="s">
        <v>668</v>
      </c>
      <c r="J531" s="6"/>
      <c r="K531" s="6" t="s">
        <v>1401</v>
      </c>
      <c r="L531" s="6" t="s">
        <v>608</v>
      </c>
      <c r="M531" s="6" t="s">
        <v>609</v>
      </c>
      <c r="N531" s="6" t="s">
        <v>607</v>
      </c>
      <c r="O531" s="20" t="s">
        <v>1389</v>
      </c>
      <c r="P531" s="20" t="s">
        <v>297</v>
      </c>
      <c r="Q531" s="22" t="s">
        <v>611</v>
      </c>
      <c r="R531" s="6" t="s">
        <v>1390</v>
      </c>
      <c r="S531" s="6" t="s">
        <v>1402</v>
      </c>
    </row>
    <row r="532" ht="45" customHeight="1" spans="1:19" x14ac:dyDescent="0.25">
      <c r="A532" s="20" t="s">
        <v>604</v>
      </c>
      <c r="B532" s="20" t="s">
        <v>605</v>
      </c>
      <c r="C532" s="6" t="s">
        <v>1403</v>
      </c>
      <c r="D532" s="6" t="s">
        <v>1404</v>
      </c>
      <c r="E532" s="20">
        <v>0</v>
      </c>
      <c r="F532" s="20">
        <v>7.5</v>
      </c>
      <c r="G532" s="20" t="s">
        <v>674</v>
      </c>
      <c r="H532" s="27">
        <v>250</v>
      </c>
      <c r="I532" s="20" t="s">
        <v>668</v>
      </c>
      <c r="J532" s="6"/>
      <c r="K532" s="6" t="s">
        <v>1405</v>
      </c>
      <c r="L532" s="6" t="s">
        <v>608</v>
      </c>
      <c r="M532" s="6" t="s">
        <v>609</v>
      </c>
      <c r="N532" s="6" t="s">
        <v>607</v>
      </c>
      <c r="O532" s="20" t="s">
        <v>1389</v>
      </c>
      <c r="P532" s="20" t="s">
        <v>297</v>
      </c>
      <c r="Q532" s="22" t="s">
        <v>611</v>
      </c>
      <c r="R532" s="6" t="s">
        <v>1390</v>
      </c>
      <c r="S532" s="6" t="s">
        <v>1406</v>
      </c>
    </row>
    <row r="533" ht="45" customHeight="1" spans="1:19" x14ac:dyDescent="0.25">
      <c r="A533" s="20" t="s">
        <v>604</v>
      </c>
      <c r="B533" s="20" t="s">
        <v>605</v>
      </c>
      <c r="C533" s="6" t="s">
        <v>1403</v>
      </c>
      <c r="D533" s="6" t="s">
        <v>1404</v>
      </c>
      <c r="E533" s="20">
        <v>0</v>
      </c>
      <c r="F533" s="20">
        <v>7.5</v>
      </c>
      <c r="G533" s="20" t="s">
        <v>735</v>
      </c>
      <c r="H533" s="27">
        <v>1500</v>
      </c>
      <c r="I533" s="20" t="s">
        <v>668</v>
      </c>
      <c r="J533" s="6"/>
      <c r="K533" s="6" t="s">
        <v>1405</v>
      </c>
      <c r="L533" s="6" t="s">
        <v>608</v>
      </c>
      <c r="M533" s="6" t="s">
        <v>609</v>
      </c>
      <c r="N533" s="6" t="s">
        <v>607</v>
      </c>
      <c r="O533" s="20" t="s">
        <v>1389</v>
      </c>
      <c r="P533" s="20" t="s">
        <v>297</v>
      </c>
      <c r="Q533" s="22" t="s">
        <v>611</v>
      </c>
      <c r="R533" s="6" t="s">
        <v>1390</v>
      </c>
      <c r="S533" s="6" t="s">
        <v>1406</v>
      </c>
    </row>
    <row r="534" ht="45" customHeight="1" spans="1:19" x14ac:dyDescent="0.25">
      <c r="A534" s="20" t="s">
        <v>604</v>
      </c>
      <c r="B534" s="20" t="s">
        <v>605</v>
      </c>
      <c r="C534" s="6" t="s">
        <v>1407</v>
      </c>
      <c r="D534" s="6" t="s">
        <v>1408</v>
      </c>
      <c r="E534" s="20"/>
      <c r="F534" s="20"/>
      <c r="G534" s="20" t="s">
        <v>706</v>
      </c>
      <c r="H534" s="27"/>
      <c r="I534" s="20" t="s">
        <v>668</v>
      </c>
      <c r="J534" s="6"/>
      <c r="K534" s="6" t="s">
        <v>1409</v>
      </c>
      <c r="L534" s="6" t="s">
        <v>608</v>
      </c>
      <c r="M534" s="6" t="s">
        <v>609</v>
      </c>
      <c r="N534" s="6" t="s">
        <v>607</v>
      </c>
      <c r="O534" s="20" t="s">
        <v>1389</v>
      </c>
      <c r="P534" s="20" t="s">
        <v>297</v>
      </c>
      <c r="Q534" s="22" t="s">
        <v>611</v>
      </c>
      <c r="R534" s="6" t="s">
        <v>1390</v>
      </c>
      <c r="S534" s="6" t="s">
        <v>1410</v>
      </c>
    </row>
    <row r="535" ht="45" customHeight="1" spans="1:19" x14ac:dyDescent="0.25">
      <c r="A535" s="20" t="s">
        <v>612</v>
      </c>
      <c r="B535" s="20" t="s">
        <v>613</v>
      </c>
      <c r="C535" s="6"/>
      <c r="D535" s="6"/>
      <c r="E535" s="20"/>
      <c r="F535" s="20"/>
      <c r="G535" s="20" t="s">
        <v>463</v>
      </c>
      <c r="H535" s="27"/>
      <c r="I535" s="20" t="s">
        <v>668</v>
      </c>
      <c r="J535" s="6"/>
      <c r="K535" s="6"/>
      <c r="L535" s="6"/>
      <c r="M535" s="6" t="s">
        <v>614</v>
      </c>
      <c r="N535" s="6" t="s">
        <v>463</v>
      </c>
      <c r="O535" s="20" t="s">
        <v>787</v>
      </c>
      <c r="P535" s="20" t="s">
        <v>297</v>
      </c>
      <c r="Q535" s="22" t="s">
        <v>615</v>
      </c>
      <c r="R535" s="6" t="s">
        <v>1411</v>
      </c>
      <c r="S535" s="6" t="s">
        <v>463</v>
      </c>
    </row>
    <row r="536" ht="45" customHeight="1" spans="1:19" x14ac:dyDescent="0.25">
      <c r="A536" s="20" t="s">
        <v>616</v>
      </c>
      <c r="B536" s="20" t="s">
        <v>617</v>
      </c>
      <c r="C536" s="6" t="s">
        <v>1412</v>
      </c>
      <c r="D536" s="6" t="s">
        <v>1413</v>
      </c>
      <c r="E536" s="20">
        <v>3.5</v>
      </c>
      <c r="F536" s="20"/>
      <c r="G536" s="20" t="s">
        <v>667</v>
      </c>
      <c r="H536" s="27"/>
      <c r="I536" s="20"/>
      <c r="J536" s="6" t="s">
        <v>1414</v>
      </c>
      <c r="K536" s="6" t="s">
        <v>1415</v>
      </c>
      <c r="L536" s="6" t="s">
        <v>619</v>
      </c>
      <c r="M536" s="6" t="s">
        <v>620</v>
      </c>
      <c r="N536" s="6" t="s">
        <v>618</v>
      </c>
      <c r="O536" s="20" t="s">
        <v>1416</v>
      </c>
      <c r="P536" s="20" t="s">
        <v>269</v>
      </c>
      <c r="Q536" s="22" t="s">
        <v>622</v>
      </c>
      <c r="R536" s="6" t="s">
        <v>1417</v>
      </c>
      <c r="S536" s="6" t="s">
        <v>1418</v>
      </c>
    </row>
    <row r="537" ht="45" customHeight="1" spans="1:19" x14ac:dyDescent="0.25">
      <c r="A537" s="20" t="s">
        <v>616</v>
      </c>
      <c r="B537" s="20" t="s">
        <v>617</v>
      </c>
      <c r="C537" s="6" t="s">
        <v>1412</v>
      </c>
      <c r="D537" s="6" t="s">
        <v>1088</v>
      </c>
      <c r="E537" s="20">
        <v>3.5</v>
      </c>
      <c r="F537" s="20"/>
      <c r="G537" s="20" t="s">
        <v>785</v>
      </c>
      <c r="H537" s="27"/>
      <c r="I537" s="20"/>
      <c r="J537" s="6"/>
      <c r="K537" s="6" t="s">
        <v>1419</v>
      </c>
      <c r="L537" s="6" t="s">
        <v>619</v>
      </c>
      <c r="M537" s="6" t="s">
        <v>620</v>
      </c>
      <c r="N537" s="6" t="s">
        <v>618</v>
      </c>
      <c r="O537" s="20" t="s">
        <v>1416</v>
      </c>
      <c r="P537" s="20" t="s">
        <v>269</v>
      </c>
      <c r="Q537" s="22" t="s">
        <v>622</v>
      </c>
      <c r="R537" s="6" t="s">
        <v>1420</v>
      </c>
      <c r="S537" s="6" t="s">
        <v>1418</v>
      </c>
    </row>
    <row r="538" ht="45" customHeight="1" spans="1:19" x14ac:dyDescent="0.25">
      <c r="A538" s="20" t="s">
        <v>616</v>
      </c>
      <c r="B538" s="20" t="s">
        <v>617</v>
      </c>
      <c r="C538" s="6" t="s">
        <v>1421</v>
      </c>
      <c r="D538" s="6" t="s">
        <v>1088</v>
      </c>
      <c r="E538" s="20">
        <v>3.5</v>
      </c>
      <c r="F538" s="20"/>
      <c r="G538" s="20" t="s">
        <v>716</v>
      </c>
      <c r="H538" s="27"/>
      <c r="I538" s="20"/>
      <c r="J538" s="6" t="s">
        <v>1422</v>
      </c>
      <c r="K538" s="6" t="s">
        <v>1423</v>
      </c>
      <c r="L538" s="6" t="s">
        <v>1424</v>
      </c>
      <c r="M538" s="6" t="s">
        <v>620</v>
      </c>
      <c r="N538" s="6" t="s">
        <v>1425</v>
      </c>
      <c r="O538" s="20" t="s">
        <v>1426</v>
      </c>
      <c r="P538" s="20" t="s">
        <v>236</v>
      </c>
      <c r="Q538" s="22" t="s">
        <v>1427</v>
      </c>
      <c r="R538" s="6" t="s">
        <v>1428</v>
      </c>
      <c r="S538" s="6" t="s">
        <v>1429</v>
      </c>
    </row>
    <row r="539" ht="45" customHeight="1" spans="1:19" x14ac:dyDescent="0.25">
      <c r="A539" s="20" t="s">
        <v>623</v>
      </c>
      <c r="B539" s="20" t="s">
        <v>623</v>
      </c>
      <c r="C539" s="6" t="s">
        <v>1430</v>
      </c>
      <c r="D539" s="6" t="s">
        <v>1431</v>
      </c>
      <c r="E539" s="20">
        <v>3.5</v>
      </c>
      <c r="F539" s="20">
        <v>7.5</v>
      </c>
      <c r="G539" s="20" t="s">
        <v>667</v>
      </c>
      <c r="H539" s="27">
        <v>20</v>
      </c>
      <c r="I539" s="20" t="s">
        <v>668</v>
      </c>
      <c r="J539" s="6" t="s">
        <v>1432</v>
      </c>
      <c r="K539" s="6"/>
      <c r="L539" s="6" t="s">
        <v>626</v>
      </c>
      <c r="M539" s="6" t="s">
        <v>627</v>
      </c>
      <c r="N539" s="6" t="s">
        <v>625</v>
      </c>
      <c r="O539" s="20" t="s">
        <v>1433</v>
      </c>
      <c r="P539" s="20" t="s">
        <v>269</v>
      </c>
      <c r="Q539" s="22" t="s">
        <v>628</v>
      </c>
      <c r="R539" s="6" t="s">
        <v>1434</v>
      </c>
      <c r="S539" s="6" t="s">
        <v>1435</v>
      </c>
    </row>
    <row r="540" ht="45" customHeight="1" spans="1:19" x14ac:dyDescent="0.25">
      <c r="A540" s="20" t="s">
        <v>623</v>
      </c>
      <c r="B540" s="20" t="s">
        <v>623</v>
      </c>
      <c r="C540" s="6" t="s">
        <v>1430</v>
      </c>
      <c r="D540" s="6" t="s">
        <v>1431</v>
      </c>
      <c r="E540" s="20">
        <v>3.5</v>
      </c>
      <c r="F540" s="20">
        <v>7.5</v>
      </c>
      <c r="G540" s="20" t="s">
        <v>674</v>
      </c>
      <c r="H540" s="27">
        <v>240</v>
      </c>
      <c r="I540" s="20" t="s">
        <v>668</v>
      </c>
      <c r="J540" s="6" t="s">
        <v>1432</v>
      </c>
      <c r="K540" s="6"/>
      <c r="L540" s="6" t="s">
        <v>626</v>
      </c>
      <c r="M540" s="6" t="s">
        <v>627</v>
      </c>
      <c r="N540" s="6" t="s">
        <v>625</v>
      </c>
      <c r="O540" s="20" t="s">
        <v>1433</v>
      </c>
      <c r="P540" s="20" t="s">
        <v>269</v>
      </c>
      <c r="Q540" s="22" t="s">
        <v>628</v>
      </c>
      <c r="R540" s="6" t="s">
        <v>1434</v>
      </c>
      <c r="S540" s="6" t="s">
        <v>1435</v>
      </c>
    </row>
    <row r="541" ht="45" customHeight="1" spans="1:19" x14ac:dyDescent="0.25">
      <c r="A541" s="20" t="s">
        <v>623</v>
      </c>
      <c r="B541" s="20" t="s">
        <v>623</v>
      </c>
      <c r="C541" s="6" t="s">
        <v>1430</v>
      </c>
      <c r="D541" s="6" t="s">
        <v>1431</v>
      </c>
      <c r="E541" s="20">
        <v>3.5</v>
      </c>
      <c r="F541" s="20">
        <v>7.5</v>
      </c>
      <c r="G541" s="20" t="s">
        <v>735</v>
      </c>
      <c r="H541" s="27">
        <v>1500</v>
      </c>
      <c r="I541" s="20" t="s">
        <v>668</v>
      </c>
      <c r="J541" s="6" t="s">
        <v>1432</v>
      </c>
      <c r="K541" s="6"/>
      <c r="L541" s="6" t="s">
        <v>626</v>
      </c>
      <c r="M541" s="6" t="s">
        <v>627</v>
      </c>
      <c r="N541" s="6" t="s">
        <v>625</v>
      </c>
      <c r="O541" s="20" t="s">
        <v>1433</v>
      </c>
      <c r="P541" s="20" t="s">
        <v>269</v>
      </c>
      <c r="Q541" s="22" t="s">
        <v>628</v>
      </c>
      <c r="R541" s="6" t="s">
        <v>1434</v>
      </c>
      <c r="S541" s="6" t="s">
        <v>1435</v>
      </c>
    </row>
    <row r="542" ht="45" customHeight="1" spans="1:19" x14ac:dyDescent="0.25">
      <c r="A542" s="20" t="s">
        <v>623</v>
      </c>
      <c r="B542" s="20" t="s">
        <v>623</v>
      </c>
      <c r="C542" s="6" t="s">
        <v>1430</v>
      </c>
      <c r="D542" s="6" t="s">
        <v>1436</v>
      </c>
      <c r="E542" s="20">
        <v>7.5</v>
      </c>
      <c r="F542" s="20">
        <v>12</v>
      </c>
      <c r="G542" s="20" t="s">
        <v>667</v>
      </c>
      <c r="H542" s="27">
        <v>45</v>
      </c>
      <c r="I542" s="20" t="s">
        <v>668</v>
      </c>
      <c r="J542" s="6" t="s">
        <v>1437</v>
      </c>
      <c r="K542" s="6"/>
      <c r="L542" s="6" t="s">
        <v>626</v>
      </c>
      <c r="M542" s="6" t="s">
        <v>627</v>
      </c>
      <c r="N542" s="6" t="s">
        <v>625</v>
      </c>
      <c r="O542" s="20" t="s">
        <v>1433</v>
      </c>
      <c r="P542" s="20" t="s">
        <v>269</v>
      </c>
      <c r="Q542" s="22" t="s">
        <v>628</v>
      </c>
      <c r="R542" s="6" t="s">
        <v>1434</v>
      </c>
      <c r="S542" s="6" t="s">
        <v>1435</v>
      </c>
    </row>
    <row r="543" ht="45" customHeight="1" spans="1:19" x14ac:dyDescent="0.25">
      <c r="A543" s="20" t="s">
        <v>623</v>
      </c>
      <c r="B543" s="20" t="s">
        <v>623</v>
      </c>
      <c r="C543" s="6" t="s">
        <v>1430</v>
      </c>
      <c r="D543" s="6" t="s">
        <v>1436</v>
      </c>
      <c r="E543" s="20">
        <v>7.5</v>
      </c>
      <c r="F543" s="20">
        <v>12</v>
      </c>
      <c r="G543" s="20" t="s">
        <v>674</v>
      </c>
      <c r="H543" s="27">
        <v>450</v>
      </c>
      <c r="I543" s="20" t="s">
        <v>668</v>
      </c>
      <c r="J543" s="6" t="s">
        <v>1437</v>
      </c>
      <c r="K543" s="6"/>
      <c r="L543" s="6" t="s">
        <v>626</v>
      </c>
      <c r="M543" s="6" t="s">
        <v>627</v>
      </c>
      <c r="N543" s="6" t="s">
        <v>625</v>
      </c>
      <c r="O543" s="20" t="s">
        <v>1433</v>
      </c>
      <c r="P543" s="20" t="s">
        <v>269</v>
      </c>
      <c r="Q543" s="22" t="s">
        <v>628</v>
      </c>
      <c r="R543" s="6" t="s">
        <v>1434</v>
      </c>
      <c r="S543" s="6" t="s">
        <v>1435</v>
      </c>
    </row>
    <row r="544" ht="45" customHeight="1" spans="1:19" x14ac:dyDescent="0.25">
      <c r="A544" s="20" t="s">
        <v>623</v>
      </c>
      <c r="B544" s="20" t="s">
        <v>623</v>
      </c>
      <c r="C544" s="6" t="s">
        <v>1430</v>
      </c>
      <c r="D544" s="6" t="s">
        <v>1436</v>
      </c>
      <c r="E544" s="20">
        <v>7.5</v>
      </c>
      <c r="F544" s="20">
        <v>12</v>
      </c>
      <c r="G544" s="20" t="s">
        <v>735</v>
      </c>
      <c r="H544" s="27">
        <v>2100</v>
      </c>
      <c r="I544" s="20" t="s">
        <v>668</v>
      </c>
      <c r="J544" s="6" t="s">
        <v>1437</v>
      </c>
      <c r="K544" s="6"/>
      <c r="L544" s="6" t="s">
        <v>626</v>
      </c>
      <c r="M544" s="6" t="s">
        <v>627</v>
      </c>
      <c r="N544" s="6" t="s">
        <v>625</v>
      </c>
      <c r="O544" s="20" t="s">
        <v>1433</v>
      </c>
      <c r="P544" s="20" t="s">
        <v>269</v>
      </c>
      <c r="Q544" s="22" t="s">
        <v>628</v>
      </c>
      <c r="R544" s="6" t="s">
        <v>1434</v>
      </c>
      <c r="S544" s="6" t="s">
        <v>1435</v>
      </c>
    </row>
    <row r="545" ht="45" customHeight="1" spans="1:19" x14ac:dyDescent="0.25">
      <c r="A545" s="20" t="s">
        <v>623</v>
      </c>
      <c r="B545" s="20" t="s">
        <v>623</v>
      </c>
      <c r="C545" s="6" t="s">
        <v>1430</v>
      </c>
      <c r="D545" s="6" t="s">
        <v>1438</v>
      </c>
      <c r="E545" s="20">
        <v>12</v>
      </c>
      <c r="F545" s="20">
        <v>40</v>
      </c>
      <c r="G545" s="20" t="s">
        <v>667</v>
      </c>
      <c r="H545" s="27">
        <v>75</v>
      </c>
      <c r="I545" s="20" t="s">
        <v>668</v>
      </c>
      <c r="J545" s="6" t="s">
        <v>1439</v>
      </c>
      <c r="K545" s="6"/>
      <c r="L545" s="6" t="s">
        <v>626</v>
      </c>
      <c r="M545" s="6" t="s">
        <v>627</v>
      </c>
      <c r="N545" s="6" t="s">
        <v>625</v>
      </c>
      <c r="O545" s="20" t="s">
        <v>1433</v>
      </c>
      <c r="P545" s="20" t="s">
        <v>269</v>
      </c>
      <c r="Q545" s="22" t="s">
        <v>628</v>
      </c>
      <c r="R545" s="6" t="s">
        <v>1434</v>
      </c>
      <c r="S545" s="6" t="s">
        <v>1435</v>
      </c>
    </row>
    <row r="546" ht="45" customHeight="1" spans="1:19" x14ac:dyDescent="0.25">
      <c r="A546" s="20" t="s">
        <v>623</v>
      </c>
      <c r="B546" s="20" t="s">
        <v>623</v>
      </c>
      <c r="C546" s="6" t="s">
        <v>1430</v>
      </c>
      <c r="D546" s="6" t="s">
        <v>1438</v>
      </c>
      <c r="E546" s="20">
        <v>12</v>
      </c>
      <c r="F546" s="20">
        <v>40</v>
      </c>
      <c r="G546" s="20" t="s">
        <v>674</v>
      </c>
      <c r="H546" s="27">
        <v>750</v>
      </c>
      <c r="I546" s="20" t="s">
        <v>668</v>
      </c>
      <c r="J546" s="6" t="s">
        <v>1439</v>
      </c>
      <c r="K546" s="6"/>
      <c r="L546" s="6" t="s">
        <v>626</v>
      </c>
      <c r="M546" s="6" t="s">
        <v>627</v>
      </c>
      <c r="N546" s="6" t="s">
        <v>625</v>
      </c>
      <c r="O546" s="20" t="s">
        <v>1433</v>
      </c>
      <c r="P546" s="20" t="s">
        <v>269</v>
      </c>
      <c r="Q546" s="22" t="s">
        <v>628</v>
      </c>
      <c r="R546" s="6" t="s">
        <v>1434</v>
      </c>
      <c r="S546" s="6" t="s">
        <v>1435</v>
      </c>
    </row>
    <row r="547" ht="45" customHeight="1" spans="1:19" x14ac:dyDescent="0.25">
      <c r="A547" s="20" t="s">
        <v>623</v>
      </c>
      <c r="B547" s="20" t="s">
        <v>623</v>
      </c>
      <c r="C547" s="6" t="s">
        <v>1430</v>
      </c>
      <c r="D547" s="6" t="s">
        <v>1438</v>
      </c>
      <c r="E547" s="20">
        <v>12</v>
      </c>
      <c r="F547" s="20">
        <v>40</v>
      </c>
      <c r="G547" s="20" t="s">
        <v>735</v>
      </c>
      <c r="H547" s="27">
        <v>4700</v>
      </c>
      <c r="I547" s="20" t="s">
        <v>668</v>
      </c>
      <c r="J547" s="6" t="s">
        <v>1439</v>
      </c>
      <c r="K547" s="6"/>
      <c r="L547" s="6" t="s">
        <v>626</v>
      </c>
      <c r="M547" s="6" t="s">
        <v>627</v>
      </c>
      <c r="N547" s="6" t="s">
        <v>625</v>
      </c>
      <c r="O547" s="20" t="s">
        <v>1433</v>
      </c>
      <c r="P547" s="20" t="s">
        <v>269</v>
      </c>
      <c r="Q547" s="22" t="s">
        <v>628</v>
      </c>
      <c r="R547" s="6" t="s">
        <v>1434</v>
      </c>
      <c r="S547" s="6" t="s">
        <v>1435</v>
      </c>
    </row>
    <row r="548" ht="45" customHeight="1" spans="1:19" x14ac:dyDescent="0.25">
      <c r="A548" s="20" t="s">
        <v>623</v>
      </c>
      <c r="B548" s="20" t="s">
        <v>623</v>
      </c>
      <c r="C548" s="6" t="s">
        <v>1430</v>
      </c>
      <c r="D548" s="6" t="s">
        <v>1440</v>
      </c>
      <c r="E548" s="20">
        <v>40</v>
      </c>
      <c r="F548" s="20"/>
      <c r="G548" s="20" t="s">
        <v>667</v>
      </c>
      <c r="H548" s="27">
        <v>95</v>
      </c>
      <c r="I548" s="20" t="s">
        <v>668</v>
      </c>
      <c r="J548" s="6" t="s">
        <v>1439</v>
      </c>
      <c r="K548" s="6"/>
      <c r="L548" s="6" t="s">
        <v>626</v>
      </c>
      <c r="M548" s="6" t="s">
        <v>627</v>
      </c>
      <c r="N548" s="6" t="s">
        <v>625</v>
      </c>
      <c r="O548" s="20" t="s">
        <v>1433</v>
      </c>
      <c r="P548" s="20" t="s">
        <v>269</v>
      </c>
      <c r="Q548" s="22" t="s">
        <v>628</v>
      </c>
      <c r="R548" s="6" t="s">
        <v>1434</v>
      </c>
      <c r="S548" s="6" t="s">
        <v>1435</v>
      </c>
    </row>
    <row r="549" ht="45" customHeight="1" spans="1:19" x14ac:dyDescent="0.25">
      <c r="A549" s="20" t="s">
        <v>623</v>
      </c>
      <c r="B549" s="20" t="s">
        <v>623</v>
      </c>
      <c r="C549" s="6" t="s">
        <v>1430</v>
      </c>
      <c r="D549" s="6" t="s">
        <v>1440</v>
      </c>
      <c r="E549" s="20">
        <v>40</v>
      </c>
      <c r="F549" s="20"/>
      <c r="G549" s="20" t="s">
        <v>674</v>
      </c>
      <c r="H549" s="27">
        <v>950</v>
      </c>
      <c r="I549" s="20" t="s">
        <v>668</v>
      </c>
      <c r="J549" s="6" t="s">
        <v>1439</v>
      </c>
      <c r="K549" s="6"/>
      <c r="L549" s="6" t="s">
        <v>626</v>
      </c>
      <c r="M549" s="6" t="s">
        <v>627</v>
      </c>
      <c r="N549" s="6" t="s">
        <v>625</v>
      </c>
      <c r="O549" s="20" t="s">
        <v>1433</v>
      </c>
      <c r="P549" s="20" t="s">
        <v>269</v>
      </c>
      <c r="Q549" s="22" t="s">
        <v>628</v>
      </c>
      <c r="R549" s="6" t="s">
        <v>1434</v>
      </c>
      <c r="S549" s="6" t="s">
        <v>1435</v>
      </c>
    </row>
    <row r="550" ht="45" customHeight="1" spans="1:19" x14ac:dyDescent="0.25">
      <c r="A550" s="20" t="s">
        <v>623</v>
      </c>
      <c r="B550" s="20" t="s">
        <v>623</v>
      </c>
      <c r="C550" s="6" t="s">
        <v>1430</v>
      </c>
      <c r="D550" s="6" t="s">
        <v>1440</v>
      </c>
      <c r="E550" s="20">
        <v>40</v>
      </c>
      <c r="F550" s="20"/>
      <c r="G550" s="20" t="s">
        <v>735</v>
      </c>
      <c r="H550" s="27">
        <v>5450</v>
      </c>
      <c r="I550" s="20" t="s">
        <v>668</v>
      </c>
      <c r="J550" s="6" t="s">
        <v>1439</v>
      </c>
      <c r="K550" s="6"/>
      <c r="L550" s="6" t="s">
        <v>626</v>
      </c>
      <c r="M550" s="6" t="s">
        <v>627</v>
      </c>
      <c r="N550" s="6" t="s">
        <v>625</v>
      </c>
      <c r="O550" s="20" t="s">
        <v>1433</v>
      </c>
      <c r="P550" s="20" t="s">
        <v>269</v>
      </c>
      <c r="Q550" s="22" t="s">
        <v>628</v>
      </c>
      <c r="R550" s="6" t="s">
        <v>1434</v>
      </c>
      <c r="S550" s="6" t="s">
        <v>1435</v>
      </c>
    </row>
    <row r="551" ht="45" customHeight="1" spans="1:19" x14ac:dyDescent="0.25">
      <c r="A551" s="20" t="s">
        <v>623</v>
      </c>
      <c r="B551" s="20" t="s">
        <v>623</v>
      </c>
      <c r="C551" s="6" t="s">
        <v>1430</v>
      </c>
      <c r="D551" s="6" t="s">
        <v>1441</v>
      </c>
      <c r="E551" s="20"/>
      <c r="F551" s="20"/>
      <c r="G551" s="20" t="s">
        <v>667</v>
      </c>
      <c r="H551" s="27">
        <v>15</v>
      </c>
      <c r="I551" s="20" t="s">
        <v>668</v>
      </c>
      <c r="J551" s="6"/>
      <c r="K551" s="6"/>
      <c r="L551" s="6" t="s">
        <v>626</v>
      </c>
      <c r="M551" s="6" t="s">
        <v>627</v>
      </c>
      <c r="N551" s="6" t="s">
        <v>625</v>
      </c>
      <c r="O551" s="20" t="s">
        <v>1433</v>
      </c>
      <c r="P551" s="20" t="s">
        <v>269</v>
      </c>
      <c r="Q551" s="22" t="s">
        <v>628</v>
      </c>
      <c r="R551" s="6" t="s">
        <v>1434</v>
      </c>
      <c r="S551" s="6" t="s">
        <v>1435</v>
      </c>
    </row>
    <row r="552" ht="45" customHeight="1" spans="1:19" x14ac:dyDescent="0.25">
      <c r="A552" s="20" t="s">
        <v>623</v>
      </c>
      <c r="B552" s="20" t="s">
        <v>623</v>
      </c>
      <c r="C552" s="6" t="s">
        <v>1430</v>
      </c>
      <c r="D552" s="6" t="s">
        <v>1441</v>
      </c>
      <c r="E552" s="20"/>
      <c r="F552" s="20"/>
      <c r="G552" s="20" t="s">
        <v>674</v>
      </c>
      <c r="H552" s="27">
        <v>200</v>
      </c>
      <c r="I552" s="20" t="s">
        <v>668</v>
      </c>
      <c r="J552" s="6"/>
      <c r="K552" s="6"/>
      <c r="L552" s="6" t="s">
        <v>626</v>
      </c>
      <c r="M552" s="6" t="s">
        <v>627</v>
      </c>
      <c r="N552" s="6" t="s">
        <v>625</v>
      </c>
      <c r="O552" s="20" t="s">
        <v>1433</v>
      </c>
      <c r="P552" s="20" t="s">
        <v>269</v>
      </c>
      <c r="Q552" s="22" t="s">
        <v>628</v>
      </c>
      <c r="R552" s="6" t="s">
        <v>1434</v>
      </c>
      <c r="S552" s="6" t="s">
        <v>1435</v>
      </c>
    </row>
    <row r="553" ht="45" customHeight="1" spans="1:19" x14ac:dyDescent="0.25">
      <c r="A553" s="20" t="s">
        <v>623</v>
      </c>
      <c r="B553" s="20" t="s">
        <v>623</v>
      </c>
      <c r="C553" s="6" t="s">
        <v>1430</v>
      </c>
      <c r="D553" s="6" t="s">
        <v>1441</v>
      </c>
      <c r="E553" s="20"/>
      <c r="F553" s="20"/>
      <c r="G553" s="20" t="s">
        <v>735</v>
      </c>
      <c r="H553" s="27">
        <v>1400</v>
      </c>
      <c r="I553" s="20" t="s">
        <v>668</v>
      </c>
      <c r="J553" s="6"/>
      <c r="K553" s="6"/>
      <c r="L553" s="6" t="s">
        <v>626</v>
      </c>
      <c r="M553" s="6" t="s">
        <v>627</v>
      </c>
      <c r="N553" s="6" t="s">
        <v>625</v>
      </c>
      <c r="O553" s="20" t="s">
        <v>1433</v>
      </c>
      <c r="P553" s="20" t="s">
        <v>269</v>
      </c>
      <c r="Q553" s="22" t="s">
        <v>628</v>
      </c>
      <c r="R553" s="6" t="s">
        <v>1434</v>
      </c>
      <c r="S553" s="6" t="s">
        <v>1435</v>
      </c>
    </row>
    <row r="554" ht="45" customHeight="1" spans="1:19" x14ac:dyDescent="0.25">
      <c r="A554" s="20" t="s">
        <v>629</v>
      </c>
      <c r="B554" s="20" t="s">
        <v>629</v>
      </c>
      <c r="C554" s="6"/>
      <c r="D554" s="6"/>
      <c r="E554" s="20"/>
      <c r="F554" s="20"/>
      <c r="G554" s="20" t="s">
        <v>463</v>
      </c>
      <c r="H554" s="27"/>
      <c r="I554" s="20" t="s">
        <v>668</v>
      </c>
      <c r="J554" s="6"/>
      <c r="K554" s="6"/>
      <c r="L554" s="6" t="s">
        <v>630</v>
      </c>
      <c r="M554" s="6" t="s">
        <v>631</v>
      </c>
      <c r="N554" s="6" t="s">
        <v>463</v>
      </c>
      <c r="O554" s="20" t="s">
        <v>787</v>
      </c>
      <c r="P554" s="20" t="s">
        <v>297</v>
      </c>
      <c r="Q554" s="22" t="s">
        <v>633</v>
      </c>
      <c r="R554" s="6" t="s">
        <v>1442</v>
      </c>
      <c r="S554" s="6" t="s">
        <v>463</v>
      </c>
    </row>
    <row r="555" ht="45" customHeight="1" spans="1:19" x14ac:dyDescent="0.25">
      <c r="A555" s="20" t="s">
        <v>634</v>
      </c>
      <c r="B555" s="20" t="s">
        <v>635</v>
      </c>
      <c r="C555" s="6" t="s">
        <v>1443</v>
      </c>
      <c r="D555" s="6" t="s">
        <v>1444</v>
      </c>
      <c r="E555" s="20">
        <v>3.5</v>
      </c>
      <c r="F555" s="20">
        <v>5</v>
      </c>
      <c r="G555" s="20" t="s">
        <v>667</v>
      </c>
      <c r="H555" s="27">
        <v>58</v>
      </c>
      <c r="I555" s="20" t="s">
        <v>668</v>
      </c>
      <c r="J555" s="6" t="s">
        <v>1445</v>
      </c>
      <c r="K555" s="6"/>
      <c r="L555" s="6" t="s">
        <v>638</v>
      </c>
      <c r="M555" s="6" t="s">
        <v>639</v>
      </c>
      <c r="N555" s="6" t="s">
        <v>637</v>
      </c>
      <c r="O555" s="20" t="s">
        <v>1446</v>
      </c>
      <c r="P555" s="20" t="s">
        <v>236</v>
      </c>
      <c r="Q555" s="22" t="s">
        <v>641</v>
      </c>
      <c r="R555" s="6" t="s">
        <v>1447</v>
      </c>
      <c r="S555" s="6" t="s">
        <v>1448</v>
      </c>
    </row>
    <row r="556" ht="45" customHeight="1" spans="1:19" x14ac:dyDescent="0.25">
      <c r="A556" s="20" t="s">
        <v>634</v>
      </c>
      <c r="B556" s="20" t="s">
        <v>635</v>
      </c>
      <c r="C556" s="6" t="s">
        <v>1443</v>
      </c>
      <c r="D556" s="6" t="s">
        <v>1444</v>
      </c>
      <c r="E556" s="20">
        <v>3.5</v>
      </c>
      <c r="F556" s="20">
        <v>5</v>
      </c>
      <c r="G556" s="20" t="s">
        <v>674</v>
      </c>
      <c r="H556" s="27">
        <v>583</v>
      </c>
      <c r="I556" s="20" t="s">
        <v>668</v>
      </c>
      <c r="J556" s="6" t="s">
        <v>1445</v>
      </c>
      <c r="K556" s="6"/>
      <c r="L556" s="6" t="s">
        <v>638</v>
      </c>
      <c r="M556" s="6" t="s">
        <v>639</v>
      </c>
      <c r="N556" s="6" t="s">
        <v>637</v>
      </c>
      <c r="O556" s="20" t="s">
        <v>1446</v>
      </c>
      <c r="P556" s="20" t="s">
        <v>236</v>
      </c>
      <c r="Q556" s="22" t="s">
        <v>641</v>
      </c>
      <c r="R556" s="6" t="s">
        <v>1447</v>
      </c>
      <c r="S556" s="6" t="s">
        <v>1448</v>
      </c>
    </row>
    <row r="557" ht="45" customHeight="1" spans="1:19" x14ac:dyDescent="0.25">
      <c r="A557" s="20" t="s">
        <v>634</v>
      </c>
      <c r="B557" s="20" t="s">
        <v>635</v>
      </c>
      <c r="C557" s="6" t="s">
        <v>1443</v>
      </c>
      <c r="D557" s="6" t="s">
        <v>1444</v>
      </c>
      <c r="E557" s="20">
        <v>3.5</v>
      </c>
      <c r="F557" s="20">
        <v>5</v>
      </c>
      <c r="G557" s="20" t="s">
        <v>735</v>
      </c>
      <c r="H557" s="27">
        <v>5829</v>
      </c>
      <c r="I557" s="20" t="s">
        <v>668</v>
      </c>
      <c r="J557" s="6" t="s">
        <v>1445</v>
      </c>
      <c r="K557" s="6"/>
      <c r="L557" s="6" t="s">
        <v>638</v>
      </c>
      <c r="M557" s="6" t="s">
        <v>639</v>
      </c>
      <c r="N557" s="6" t="s">
        <v>637</v>
      </c>
      <c r="O557" s="20" t="s">
        <v>1446</v>
      </c>
      <c r="P557" s="20" t="s">
        <v>236</v>
      </c>
      <c r="Q557" s="22" t="s">
        <v>641</v>
      </c>
      <c r="R557" s="6" t="s">
        <v>1447</v>
      </c>
      <c r="S557" s="6" t="s">
        <v>1448</v>
      </c>
    </row>
    <row r="558" ht="45" customHeight="1" spans="1:19" x14ac:dyDescent="0.25">
      <c r="A558" s="20" t="s">
        <v>634</v>
      </c>
      <c r="B558" s="20" t="s">
        <v>635</v>
      </c>
      <c r="C558" s="6" t="s">
        <v>1443</v>
      </c>
      <c r="D558" s="6" t="s">
        <v>922</v>
      </c>
      <c r="E558" s="20">
        <v>5</v>
      </c>
      <c r="F558" s="20">
        <v>7.5</v>
      </c>
      <c r="G558" s="20" t="s">
        <v>667</v>
      </c>
      <c r="H558" s="27">
        <v>70</v>
      </c>
      <c r="I558" s="20" t="s">
        <v>668</v>
      </c>
      <c r="J558" s="6" t="s">
        <v>1445</v>
      </c>
      <c r="K558" s="6"/>
      <c r="L558" s="6" t="s">
        <v>638</v>
      </c>
      <c r="M558" s="6" t="s">
        <v>639</v>
      </c>
      <c r="N558" s="6" t="s">
        <v>637</v>
      </c>
      <c r="O558" s="20" t="s">
        <v>1446</v>
      </c>
      <c r="P558" s="20" t="s">
        <v>236</v>
      </c>
      <c r="Q558" s="22" t="s">
        <v>641</v>
      </c>
      <c r="R558" s="6" t="s">
        <v>1447</v>
      </c>
      <c r="S558" s="6" t="s">
        <v>1448</v>
      </c>
    </row>
    <row r="559" ht="45" customHeight="1" spans="1:19" x14ac:dyDescent="0.25">
      <c r="A559" s="20" t="s">
        <v>634</v>
      </c>
      <c r="B559" s="20" t="s">
        <v>635</v>
      </c>
      <c r="C559" s="6" t="s">
        <v>1443</v>
      </c>
      <c r="D559" s="6" t="s">
        <v>922</v>
      </c>
      <c r="E559" s="20">
        <v>5</v>
      </c>
      <c r="F559" s="20">
        <v>7.5</v>
      </c>
      <c r="G559" s="20" t="s">
        <v>674</v>
      </c>
      <c r="H559" s="27">
        <v>700</v>
      </c>
      <c r="I559" s="20" t="s">
        <v>668</v>
      </c>
      <c r="J559" s="6" t="s">
        <v>1445</v>
      </c>
      <c r="K559" s="6"/>
      <c r="L559" s="6" t="s">
        <v>638</v>
      </c>
      <c r="M559" s="6" t="s">
        <v>639</v>
      </c>
      <c r="N559" s="6" t="s">
        <v>637</v>
      </c>
      <c r="O559" s="20" t="s">
        <v>1446</v>
      </c>
      <c r="P559" s="20" t="s">
        <v>236</v>
      </c>
      <c r="Q559" s="22" t="s">
        <v>641</v>
      </c>
      <c r="R559" s="6" t="s">
        <v>1447</v>
      </c>
      <c r="S559" s="6" t="s">
        <v>1448</v>
      </c>
    </row>
    <row r="560" ht="45" customHeight="1" spans="1:19" x14ac:dyDescent="0.25">
      <c r="A560" s="20" t="s">
        <v>634</v>
      </c>
      <c r="B560" s="20" t="s">
        <v>635</v>
      </c>
      <c r="C560" s="6" t="s">
        <v>1443</v>
      </c>
      <c r="D560" s="6" t="s">
        <v>922</v>
      </c>
      <c r="E560" s="20">
        <v>5</v>
      </c>
      <c r="F560" s="20">
        <v>7.5</v>
      </c>
      <c r="G560" s="20" t="s">
        <v>735</v>
      </c>
      <c r="H560" s="27">
        <v>6995</v>
      </c>
      <c r="I560" s="20" t="s">
        <v>668</v>
      </c>
      <c r="J560" s="6" t="s">
        <v>1445</v>
      </c>
      <c r="K560" s="6"/>
      <c r="L560" s="6" t="s">
        <v>638</v>
      </c>
      <c r="M560" s="6" t="s">
        <v>639</v>
      </c>
      <c r="N560" s="6" t="s">
        <v>637</v>
      </c>
      <c r="O560" s="20" t="s">
        <v>1446</v>
      </c>
      <c r="P560" s="20" t="s">
        <v>236</v>
      </c>
      <c r="Q560" s="22" t="s">
        <v>641</v>
      </c>
      <c r="R560" s="6" t="s">
        <v>1447</v>
      </c>
      <c r="S560" s="6" t="s">
        <v>1448</v>
      </c>
    </row>
    <row r="561" ht="45" customHeight="1" spans="1:19" x14ac:dyDescent="0.25">
      <c r="A561" s="20" t="s">
        <v>634</v>
      </c>
      <c r="B561" s="20" t="s">
        <v>635</v>
      </c>
      <c r="C561" s="6" t="s">
        <v>1443</v>
      </c>
      <c r="D561" s="6" t="s">
        <v>847</v>
      </c>
      <c r="E561" s="20">
        <v>7.5</v>
      </c>
      <c r="F561" s="20">
        <v>12.5</v>
      </c>
      <c r="G561" s="20" t="s">
        <v>667</v>
      </c>
      <c r="H561" s="27">
        <v>81</v>
      </c>
      <c r="I561" s="20" t="s">
        <v>668</v>
      </c>
      <c r="J561" s="6" t="s">
        <v>1445</v>
      </c>
      <c r="K561" s="6"/>
      <c r="L561" s="6" t="s">
        <v>638</v>
      </c>
      <c r="M561" s="6" t="s">
        <v>639</v>
      </c>
      <c r="N561" s="6" t="s">
        <v>637</v>
      </c>
      <c r="O561" s="20" t="s">
        <v>1446</v>
      </c>
      <c r="P561" s="20" t="s">
        <v>236</v>
      </c>
      <c r="Q561" s="22" t="s">
        <v>641</v>
      </c>
      <c r="R561" s="6" t="s">
        <v>1447</v>
      </c>
      <c r="S561" s="6" t="s">
        <v>1448</v>
      </c>
    </row>
    <row r="562" ht="45" customHeight="1" spans="1:19" x14ac:dyDescent="0.25">
      <c r="A562" s="20" t="s">
        <v>634</v>
      </c>
      <c r="B562" s="20" t="s">
        <v>635</v>
      </c>
      <c r="C562" s="6" t="s">
        <v>1443</v>
      </c>
      <c r="D562" s="6" t="s">
        <v>847</v>
      </c>
      <c r="E562" s="20">
        <v>7.5</v>
      </c>
      <c r="F562" s="20">
        <v>12.5</v>
      </c>
      <c r="G562" s="20" t="s">
        <v>674</v>
      </c>
      <c r="H562" s="27">
        <v>816</v>
      </c>
      <c r="I562" s="20" t="s">
        <v>668</v>
      </c>
      <c r="J562" s="6" t="s">
        <v>1445</v>
      </c>
      <c r="K562" s="6"/>
      <c r="L562" s="6" t="s">
        <v>638</v>
      </c>
      <c r="M562" s="6" t="s">
        <v>639</v>
      </c>
      <c r="N562" s="6" t="s">
        <v>637</v>
      </c>
      <c r="O562" s="20" t="s">
        <v>1446</v>
      </c>
      <c r="P562" s="20" t="s">
        <v>236</v>
      </c>
      <c r="Q562" s="22" t="s">
        <v>641</v>
      </c>
      <c r="R562" s="6" t="s">
        <v>1447</v>
      </c>
      <c r="S562" s="6" t="s">
        <v>1448</v>
      </c>
    </row>
    <row r="563" ht="45" customHeight="1" spans="1:19" x14ac:dyDescent="0.25">
      <c r="A563" s="20" t="s">
        <v>634</v>
      </c>
      <c r="B563" s="20" t="s">
        <v>635</v>
      </c>
      <c r="C563" s="6" t="s">
        <v>1443</v>
      </c>
      <c r="D563" s="6" t="s">
        <v>847</v>
      </c>
      <c r="E563" s="20">
        <v>7.5</v>
      </c>
      <c r="F563" s="20">
        <v>12.5</v>
      </c>
      <c r="G563" s="20" t="s">
        <v>735</v>
      </c>
      <c r="H563" s="27">
        <v>8161</v>
      </c>
      <c r="I563" s="20" t="s">
        <v>668</v>
      </c>
      <c r="J563" s="6" t="s">
        <v>1445</v>
      </c>
      <c r="K563" s="6"/>
      <c r="L563" s="6" t="s">
        <v>638</v>
      </c>
      <c r="M563" s="6" t="s">
        <v>639</v>
      </c>
      <c r="N563" s="6" t="s">
        <v>637</v>
      </c>
      <c r="O563" s="20" t="s">
        <v>1446</v>
      </c>
      <c r="P563" s="20" t="s">
        <v>236</v>
      </c>
      <c r="Q563" s="22" t="s">
        <v>641</v>
      </c>
      <c r="R563" s="6" t="s">
        <v>1447</v>
      </c>
      <c r="S563" s="6" t="s">
        <v>1448</v>
      </c>
    </row>
    <row r="564" ht="45" customHeight="1" spans="1:19" x14ac:dyDescent="0.25">
      <c r="A564" s="20" t="s">
        <v>634</v>
      </c>
      <c r="B564" s="20" t="s">
        <v>635</v>
      </c>
      <c r="C564" s="6" t="s">
        <v>1443</v>
      </c>
      <c r="D564" s="6" t="s">
        <v>1282</v>
      </c>
      <c r="E564" s="20">
        <v>12.5</v>
      </c>
      <c r="F564" s="20"/>
      <c r="G564" s="20" t="s">
        <v>667</v>
      </c>
      <c r="H564" s="27">
        <v>93</v>
      </c>
      <c r="I564" s="20" t="s">
        <v>668</v>
      </c>
      <c r="J564" s="6" t="s">
        <v>1445</v>
      </c>
      <c r="K564" s="6"/>
      <c r="L564" s="6" t="s">
        <v>638</v>
      </c>
      <c r="M564" s="6" t="s">
        <v>639</v>
      </c>
      <c r="N564" s="6" t="s">
        <v>637</v>
      </c>
      <c r="O564" s="20" t="s">
        <v>1446</v>
      </c>
      <c r="P564" s="20" t="s">
        <v>236</v>
      </c>
      <c r="Q564" s="22" t="s">
        <v>641</v>
      </c>
      <c r="R564" s="6" t="s">
        <v>1447</v>
      </c>
      <c r="S564" s="6" t="s">
        <v>1448</v>
      </c>
    </row>
    <row r="565" ht="45" customHeight="1" spans="1:19" x14ac:dyDescent="0.25">
      <c r="A565" s="20" t="s">
        <v>634</v>
      </c>
      <c r="B565" s="20" t="s">
        <v>635</v>
      </c>
      <c r="C565" s="6" t="s">
        <v>1443</v>
      </c>
      <c r="D565" s="6" t="s">
        <v>1282</v>
      </c>
      <c r="E565" s="20">
        <v>12.5</v>
      </c>
      <c r="F565" s="20"/>
      <c r="G565" s="20" t="s">
        <v>674</v>
      </c>
      <c r="H565" s="27">
        <v>932</v>
      </c>
      <c r="I565" s="20" t="s">
        <v>668</v>
      </c>
      <c r="J565" s="6" t="s">
        <v>1445</v>
      </c>
      <c r="K565" s="6"/>
      <c r="L565" s="6" t="s">
        <v>638</v>
      </c>
      <c r="M565" s="6" t="s">
        <v>639</v>
      </c>
      <c r="N565" s="6" t="s">
        <v>637</v>
      </c>
      <c r="O565" s="20" t="s">
        <v>1446</v>
      </c>
      <c r="P565" s="20" t="s">
        <v>236</v>
      </c>
      <c r="Q565" s="22" t="s">
        <v>641</v>
      </c>
      <c r="R565" s="6" t="s">
        <v>1447</v>
      </c>
      <c r="S565" s="6" t="s">
        <v>1448</v>
      </c>
    </row>
    <row r="566" ht="45" customHeight="1" spans="1:19" x14ac:dyDescent="0.25">
      <c r="A566" s="20" t="s">
        <v>634</v>
      </c>
      <c r="B566" s="20" t="s">
        <v>635</v>
      </c>
      <c r="C566" s="6" t="s">
        <v>1443</v>
      </c>
      <c r="D566" s="6" t="s">
        <v>1282</v>
      </c>
      <c r="E566" s="20">
        <v>12.5</v>
      </c>
      <c r="F566" s="20"/>
      <c r="G566" s="20" t="s">
        <v>735</v>
      </c>
      <c r="H566" s="27">
        <v>9327</v>
      </c>
      <c r="I566" s="20" t="s">
        <v>668</v>
      </c>
      <c r="J566" s="6" t="s">
        <v>1445</v>
      </c>
      <c r="K566" s="6"/>
      <c r="L566" s="6" t="s">
        <v>638</v>
      </c>
      <c r="M566" s="6" t="s">
        <v>639</v>
      </c>
      <c r="N566" s="6" t="s">
        <v>637</v>
      </c>
      <c r="O566" s="20" t="s">
        <v>1446</v>
      </c>
      <c r="P566" s="20" t="s">
        <v>236</v>
      </c>
      <c r="Q566" s="22" t="s">
        <v>641</v>
      </c>
      <c r="R566" s="6" t="s">
        <v>1447</v>
      </c>
      <c r="S566" s="6" t="s">
        <v>1448</v>
      </c>
    </row>
    <row r="567" ht="45" customHeight="1" spans="1:19" x14ac:dyDescent="0.25">
      <c r="A567" s="20" t="s">
        <v>634</v>
      </c>
      <c r="B567" s="20" t="s">
        <v>635</v>
      </c>
      <c r="C567" s="6" t="s">
        <v>1443</v>
      </c>
      <c r="D567" s="6" t="s">
        <v>1449</v>
      </c>
      <c r="E567" s="20">
        <v>3.5</v>
      </c>
      <c r="F567" s="20">
        <v>5</v>
      </c>
      <c r="G567" s="20" t="s">
        <v>667</v>
      </c>
      <c r="H567" s="27">
        <v>11</v>
      </c>
      <c r="I567" s="20" t="s">
        <v>1450</v>
      </c>
      <c r="J567" s="6" t="s">
        <v>1445</v>
      </c>
      <c r="K567" s="6" t="s">
        <v>1451</v>
      </c>
      <c r="L567" s="6" t="s">
        <v>638</v>
      </c>
      <c r="M567" s="6" t="s">
        <v>639</v>
      </c>
      <c r="N567" s="6" t="s">
        <v>637</v>
      </c>
      <c r="O567" s="20" t="s">
        <v>1452</v>
      </c>
      <c r="P567" s="20" t="s">
        <v>269</v>
      </c>
      <c r="Q567" s="22" t="s">
        <v>1453</v>
      </c>
      <c r="R567" s="6" t="s">
        <v>1454</v>
      </c>
      <c r="S567" s="6" t="s">
        <v>1448</v>
      </c>
    </row>
    <row r="568" ht="45" customHeight="1" spans="1:19" x14ac:dyDescent="0.25">
      <c r="A568" s="20" t="s">
        <v>634</v>
      </c>
      <c r="B568" s="20" t="s">
        <v>635</v>
      </c>
      <c r="C568" s="6" t="s">
        <v>1443</v>
      </c>
      <c r="D568" s="6" t="s">
        <v>1455</v>
      </c>
      <c r="E568" s="20">
        <v>5</v>
      </c>
      <c r="F568" s="20">
        <v>7.5</v>
      </c>
      <c r="G568" s="20" t="s">
        <v>667</v>
      </c>
      <c r="H568" s="27">
        <v>13</v>
      </c>
      <c r="I568" s="20" t="s">
        <v>1450</v>
      </c>
      <c r="J568" s="6" t="s">
        <v>1445</v>
      </c>
      <c r="K568" s="6" t="s">
        <v>1456</v>
      </c>
      <c r="L568" s="6" t="s">
        <v>638</v>
      </c>
      <c r="M568" s="6" t="s">
        <v>639</v>
      </c>
      <c r="N568" s="6" t="s">
        <v>637</v>
      </c>
      <c r="O568" s="20" t="s">
        <v>1452</v>
      </c>
      <c r="P568" s="20" t="s">
        <v>269</v>
      </c>
      <c r="Q568" s="22" t="s">
        <v>1453</v>
      </c>
      <c r="R568" s="6" t="s">
        <v>1454</v>
      </c>
      <c r="S568" s="6" t="s">
        <v>1448</v>
      </c>
    </row>
    <row r="569" ht="45" customHeight="1" spans="1:19" x14ac:dyDescent="0.25">
      <c r="A569" s="20" t="s">
        <v>634</v>
      </c>
      <c r="B569" s="20" t="s">
        <v>635</v>
      </c>
      <c r="C569" s="6" t="s">
        <v>1443</v>
      </c>
      <c r="D569" s="6" t="s">
        <v>1457</v>
      </c>
      <c r="E569" s="20">
        <v>7.5</v>
      </c>
      <c r="F569" s="20">
        <v>12.5</v>
      </c>
      <c r="G569" s="20" t="s">
        <v>667</v>
      </c>
      <c r="H569" s="27">
        <v>15</v>
      </c>
      <c r="I569" s="20" t="s">
        <v>1450</v>
      </c>
      <c r="J569" s="6" t="s">
        <v>1445</v>
      </c>
      <c r="K569" s="6" t="s">
        <v>1458</v>
      </c>
      <c r="L569" s="6" t="s">
        <v>638</v>
      </c>
      <c r="M569" s="6" t="s">
        <v>639</v>
      </c>
      <c r="N569" s="6" t="s">
        <v>637</v>
      </c>
      <c r="O569" s="20" t="s">
        <v>1452</v>
      </c>
      <c r="P569" s="20" t="s">
        <v>269</v>
      </c>
      <c r="Q569" s="22" t="s">
        <v>1453</v>
      </c>
      <c r="R569" s="6" t="s">
        <v>1454</v>
      </c>
      <c r="S569" s="6" t="s">
        <v>1448</v>
      </c>
    </row>
    <row r="570" ht="45" customHeight="1" spans="1:19" x14ac:dyDescent="0.25">
      <c r="A570" s="20" t="s">
        <v>634</v>
      </c>
      <c r="B570" s="20" t="s">
        <v>635</v>
      </c>
      <c r="C570" s="6" t="s">
        <v>1443</v>
      </c>
      <c r="D570" s="6" t="s">
        <v>1459</v>
      </c>
      <c r="E570" s="20">
        <v>12.5</v>
      </c>
      <c r="F570" s="20"/>
      <c r="G570" s="20" t="s">
        <v>667</v>
      </c>
      <c r="H570" s="27">
        <v>18</v>
      </c>
      <c r="I570" s="20" t="s">
        <v>1450</v>
      </c>
      <c r="J570" s="6" t="s">
        <v>1445</v>
      </c>
      <c r="K570" s="6" t="s">
        <v>1460</v>
      </c>
      <c r="L570" s="6" t="s">
        <v>638</v>
      </c>
      <c r="M570" s="6" t="s">
        <v>639</v>
      </c>
      <c r="N570" s="6" t="s">
        <v>637</v>
      </c>
      <c r="O570" s="20" t="s">
        <v>1452</v>
      </c>
      <c r="P570" s="20" t="s">
        <v>269</v>
      </c>
      <c r="Q570" s="22" t="s">
        <v>1453</v>
      </c>
      <c r="R570" s="6" t="s">
        <v>1454</v>
      </c>
      <c r="S570" s="6" t="s">
        <v>1448</v>
      </c>
    </row>
    <row r="571" ht="45" customHeight="1" spans="1:19" x14ac:dyDescent="0.25">
      <c r="A571" s="20" t="s">
        <v>642</v>
      </c>
      <c r="B571" s="20" t="s">
        <v>643</v>
      </c>
      <c r="C571" s="6" t="s">
        <v>1461</v>
      </c>
      <c r="D571" s="6" t="s">
        <v>1462</v>
      </c>
      <c r="E571" s="20">
        <v>3.5</v>
      </c>
      <c r="F571" s="20">
        <v>16</v>
      </c>
      <c r="G571" s="20" t="s">
        <v>674</v>
      </c>
      <c r="H571" s="27">
        <v>563</v>
      </c>
      <c r="I571" s="20" t="s">
        <v>668</v>
      </c>
      <c r="J571" s="6" t="s">
        <v>1463</v>
      </c>
      <c r="K571" s="6"/>
      <c r="L571" s="6" t="s">
        <v>646</v>
      </c>
      <c r="M571" s="6" t="s">
        <v>647</v>
      </c>
      <c r="N571" s="6" t="s">
        <v>645</v>
      </c>
      <c r="O571" s="20" t="s">
        <v>933</v>
      </c>
      <c r="P571" s="20" t="s">
        <v>269</v>
      </c>
      <c r="Q571" s="22" t="s">
        <v>648</v>
      </c>
      <c r="R571" s="6" t="s">
        <v>1464</v>
      </c>
      <c r="S571" s="6" t="s">
        <v>1465</v>
      </c>
    </row>
    <row r="572" ht="45" customHeight="1" spans="1:19" x14ac:dyDescent="0.25">
      <c r="A572" s="20" t="s">
        <v>642</v>
      </c>
      <c r="B572" s="20" t="s">
        <v>643</v>
      </c>
      <c r="C572" s="6" t="s">
        <v>1461</v>
      </c>
      <c r="D572" s="6" t="s">
        <v>1466</v>
      </c>
      <c r="E572" s="20">
        <v>3.5</v>
      </c>
      <c r="F572" s="20">
        <v>16</v>
      </c>
      <c r="G572" s="20" t="s">
        <v>674</v>
      </c>
      <c r="H572" s="27">
        <v>198</v>
      </c>
      <c r="I572" s="20" t="s">
        <v>668</v>
      </c>
      <c r="J572" s="6" t="s">
        <v>1292</v>
      </c>
      <c r="K572" s="6"/>
      <c r="L572" s="6" t="s">
        <v>646</v>
      </c>
      <c r="M572" s="6" t="s">
        <v>647</v>
      </c>
      <c r="N572" s="6" t="s">
        <v>645</v>
      </c>
      <c r="O572" s="20" t="s">
        <v>933</v>
      </c>
      <c r="P572" s="20" t="s">
        <v>269</v>
      </c>
      <c r="Q572" s="22" t="s">
        <v>648</v>
      </c>
      <c r="R572" s="6" t="s">
        <v>1467</v>
      </c>
      <c r="S572" s="6" t="s">
        <v>1465</v>
      </c>
    </row>
    <row r="573" ht="45" customHeight="1" spans="1:19" x14ac:dyDescent="0.25">
      <c r="A573" s="20" t="s">
        <v>642</v>
      </c>
      <c r="B573" s="20" t="s">
        <v>643</v>
      </c>
      <c r="C573" s="6" t="s">
        <v>1461</v>
      </c>
      <c r="D573" s="6" t="s">
        <v>1468</v>
      </c>
      <c r="E573" s="20">
        <v>16.01</v>
      </c>
      <c r="F573" s="20">
        <v>24</v>
      </c>
      <c r="G573" s="20" t="s">
        <v>674</v>
      </c>
      <c r="H573" s="27">
        <v>1548</v>
      </c>
      <c r="I573" s="20" t="s">
        <v>668</v>
      </c>
      <c r="J573" s="6" t="s">
        <v>1469</v>
      </c>
      <c r="K573" s="6" t="s">
        <v>1470</v>
      </c>
      <c r="L573" s="6" t="s">
        <v>646</v>
      </c>
      <c r="M573" s="6" t="s">
        <v>647</v>
      </c>
      <c r="N573" s="6" t="s">
        <v>645</v>
      </c>
      <c r="O573" s="20" t="s">
        <v>933</v>
      </c>
      <c r="P573" s="20" t="s">
        <v>269</v>
      </c>
      <c r="Q573" s="22" t="s">
        <v>648</v>
      </c>
      <c r="R573" s="6" t="s">
        <v>1467</v>
      </c>
      <c r="S573" s="6" t="s">
        <v>1465</v>
      </c>
    </row>
    <row r="574" ht="45" customHeight="1" spans="1:19" x14ac:dyDescent="0.25">
      <c r="A574" s="20" t="s">
        <v>642</v>
      </c>
      <c r="B574" s="20" t="s">
        <v>643</v>
      </c>
      <c r="C574" s="6" t="s">
        <v>1461</v>
      </c>
      <c r="D574" s="6" t="s">
        <v>1471</v>
      </c>
      <c r="E574" s="20">
        <v>3.5</v>
      </c>
      <c r="F574" s="20">
        <v>16</v>
      </c>
      <c r="G574" s="20" t="s">
        <v>667</v>
      </c>
      <c r="H574" s="27">
        <v>138</v>
      </c>
      <c r="I574" s="20" t="s">
        <v>668</v>
      </c>
      <c r="J574" s="6" t="s">
        <v>1463</v>
      </c>
      <c r="K574" s="6" t="s">
        <v>1472</v>
      </c>
      <c r="L574" s="6" t="s">
        <v>646</v>
      </c>
      <c r="M574" s="6" t="s">
        <v>647</v>
      </c>
      <c r="N574" s="6" t="s">
        <v>645</v>
      </c>
      <c r="O574" s="20" t="s">
        <v>933</v>
      </c>
      <c r="P574" s="20" t="s">
        <v>269</v>
      </c>
      <c r="Q574" s="22" t="s">
        <v>648</v>
      </c>
      <c r="R574" s="6" t="s">
        <v>1467</v>
      </c>
      <c r="S574" s="6" t="s">
        <v>1465</v>
      </c>
    </row>
    <row r="575" ht="45" customHeight="1" spans="1:19" x14ac:dyDescent="0.25">
      <c r="A575" s="20" t="s">
        <v>642</v>
      </c>
      <c r="B575" s="20" t="s">
        <v>643</v>
      </c>
      <c r="C575" s="6" t="s">
        <v>1473</v>
      </c>
      <c r="D575" s="6" t="s">
        <v>1474</v>
      </c>
      <c r="E575" s="20">
        <v>3.5</v>
      </c>
      <c r="F575" s="20">
        <v>16</v>
      </c>
      <c r="G575" s="20" t="s">
        <v>463</v>
      </c>
      <c r="H575" s="27"/>
      <c r="I575" s="20" t="s">
        <v>668</v>
      </c>
      <c r="J575" s="6" t="s">
        <v>1475</v>
      </c>
      <c r="K575" s="6" t="s">
        <v>1476</v>
      </c>
      <c r="L575" s="6" t="s">
        <v>646</v>
      </c>
      <c r="M575" s="6" t="s">
        <v>647</v>
      </c>
      <c r="N575" s="6" t="s">
        <v>645</v>
      </c>
      <c r="O575" s="20" t="s">
        <v>933</v>
      </c>
      <c r="P575" s="20" t="s">
        <v>269</v>
      </c>
      <c r="Q575" s="22" t="s">
        <v>648</v>
      </c>
      <c r="R575" s="6" t="s">
        <v>1477</v>
      </c>
      <c r="S575" s="6" t="s">
        <v>1478</v>
      </c>
    </row>
    <row r="576" ht="45" customHeight="1" spans="1:19" x14ac:dyDescent="0.25">
      <c r="A576" s="20" t="s">
        <v>642</v>
      </c>
      <c r="B576" s="20" t="s">
        <v>643</v>
      </c>
      <c r="C576" s="6" t="s">
        <v>1473</v>
      </c>
      <c r="D576" s="6" t="s">
        <v>1163</v>
      </c>
      <c r="E576" s="20">
        <v>16</v>
      </c>
      <c r="F576" s="20"/>
      <c r="G576" s="20" t="s">
        <v>716</v>
      </c>
      <c r="H576" s="27"/>
      <c r="I576" s="20" t="s">
        <v>668</v>
      </c>
      <c r="J576" s="6" t="s">
        <v>1479</v>
      </c>
      <c r="K576" s="6"/>
      <c r="L576" s="6" t="s">
        <v>646</v>
      </c>
      <c r="M576" s="6" t="s">
        <v>647</v>
      </c>
      <c r="N576" s="6" t="s">
        <v>645</v>
      </c>
      <c r="O576" s="20" t="s">
        <v>933</v>
      </c>
      <c r="P576" s="20" t="s">
        <v>269</v>
      </c>
      <c r="Q576" s="22" t="s">
        <v>648</v>
      </c>
      <c r="R576" s="6" t="s">
        <v>1467</v>
      </c>
      <c r="S576" s="6" t="s">
        <v>1478</v>
      </c>
    </row>
  </sheetData>
  <autoFilter ref="A1:S576"/>
  <hyperlinks>
    <hyperlink ref="Q2" r:id="rId1"/>
    <hyperlink ref="Q3" r:id="rId2"/>
    <hyperlink ref="Q4" r:id="rId3"/>
    <hyperlink ref="Q5" r:id="rId4"/>
    <hyperlink ref="Q6" r:id="rId5"/>
    <hyperlink ref="Q7" r:id="rId6"/>
    <hyperlink ref="Q8" r:id="rId7"/>
    <hyperlink ref="Q9" r:id="rId8"/>
    <hyperlink ref="Q10" r:id="rId9"/>
    <hyperlink ref="Q11" r:id="rId10"/>
    <hyperlink ref="Q12" r:id="rId11"/>
    <hyperlink ref="Q13" r:id="rId12"/>
    <hyperlink ref="Q14" r:id="rId13"/>
    <hyperlink ref="Q15" r:id="rId14"/>
    <hyperlink ref="Q16" r:id="rId15"/>
    <hyperlink ref="Q17" r:id="rId16"/>
    <hyperlink ref="Q18" r:id="rId17"/>
    <hyperlink ref="Q19" r:id="rId18"/>
    <hyperlink ref="Q20" r:id="rId19"/>
    <hyperlink ref="Q21" r:id="rId20"/>
    <hyperlink ref="Q22" r:id="rId21"/>
    <hyperlink ref="Q23" r:id="rId22"/>
    <hyperlink ref="Q24" r:id="rId23"/>
    <hyperlink ref="Q25" r:id="rId24"/>
    <hyperlink ref="Q26" r:id="rId25"/>
    <hyperlink ref="Q27" r:id="rId26"/>
    <hyperlink ref="Q28" r:id="rId27"/>
    <hyperlink ref="Q29" r:id="rId28"/>
    <hyperlink ref="Q30" r:id="rId29"/>
    <hyperlink ref="Q31" r:id="rId30"/>
    <hyperlink ref="Q32" r:id="rId31"/>
    <hyperlink ref="Q33" r:id="rId32"/>
    <hyperlink ref="Q34" r:id="rId33"/>
    <hyperlink ref="Q35" r:id="rId34"/>
    <hyperlink ref="Q36" r:id="rId35"/>
    <hyperlink ref="Q37" r:id="rId36"/>
    <hyperlink ref="Q38" r:id="rId37"/>
    <hyperlink ref="Q39" r:id="rId38"/>
    <hyperlink ref="Q40" r:id="rId39"/>
    <hyperlink ref="Q41" r:id="rId40"/>
    <hyperlink ref="Q42" r:id="rId41"/>
    <hyperlink ref="Q43" r:id="rId42"/>
    <hyperlink ref="Q44" r:id="rId43"/>
    <hyperlink ref="Q45" r:id="rId44"/>
    <hyperlink ref="Q46" r:id="rId45"/>
    <hyperlink ref="Q47" r:id="rId46"/>
    <hyperlink ref="Q48" r:id="rId47"/>
    <hyperlink ref="Q49" r:id="rId48"/>
    <hyperlink ref="Q50" r:id="rId49"/>
    <hyperlink ref="Q51" r:id="rId50"/>
    <hyperlink ref="Q52" r:id="rId51"/>
    <hyperlink ref="Q53" r:id="rId52"/>
    <hyperlink ref="Q54" r:id="rId53"/>
    <hyperlink ref="Q55" r:id="rId54"/>
    <hyperlink ref="Q56" r:id="rId55"/>
    <hyperlink ref="Q57" r:id="rId56"/>
    <hyperlink ref="Q58" r:id="rId57"/>
    <hyperlink ref="Q59" r:id="rId58"/>
    <hyperlink ref="Q60" r:id="rId59"/>
    <hyperlink ref="Q61" r:id="rId60"/>
    <hyperlink ref="Q62" r:id="rId61"/>
    <hyperlink ref="Q63" r:id="rId62"/>
    <hyperlink ref="Q64" r:id="rId63"/>
    <hyperlink ref="Q65" r:id="rId64"/>
    <hyperlink ref="Q66" r:id="rId65"/>
    <hyperlink ref="Q67" r:id="rId66"/>
    <hyperlink ref="Q68" r:id="rId67"/>
    <hyperlink ref="Q69" r:id="rId68"/>
    <hyperlink ref="Q70" r:id="rId69"/>
    <hyperlink ref="Q71" r:id="rId70"/>
    <hyperlink ref="Q72" r:id="rId71"/>
    <hyperlink ref="Q73" r:id="rId72"/>
    <hyperlink ref="Q74" r:id="rId73"/>
    <hyperlink ref="Q75" r:id="rId74"/>
    <hyperlink ref="Q76" r:id="rId75"/>
    <hyperlink ref="Q77" r:id="rId76"/>
    <hyperlink ref="Q78" r:id="rId77"/>
    <hyperlink ref="Q79" r:id="rId78"/>
    <hyperlink ref="Q80" r:id="rId79"/>
    <hyperlink ref="Q81" r:id="rId80"/>
    <hyperlink ref="Q82" r:id="rId81"/>
    <hyperlink ref="Q83" r:id="rId82"/>
    <hyperlink ref="Q84" r:id="rId83"/>
    <hyperlink ref="Q85" r:id="rId84"/>
    <hyperlink ref="Q86" r:id="rId85"/>
    <hyperlink ref="Q87" r:id="rId86"/>
    <hyperlink ref="Q88" r:id="rId87"/>
    <hyperlink ref="Q89" r:id="rId88"/>
    <hyperlink ref="Q90" r:id="rId89"/>
    <hyperlink ref="Q91" r:id="rId90"/>
    <hyperlink ref="Q92" r:id="rId91"/>
    <hyperlink ref="Q93" r:id="rId92"/>
    <hyperlink ref="Q94" r:id="rId93"/>
    <hyperlink ref="Q95" r:id="rId94"/>
    <hyperlink ref="Q96" r:id="rId95"/>
    <hyperlink ref="Q97" r:id="rId96"/>
    <hyperlink ref="Q98" r:id="rId97"/>
    <hyperlink ref="Q99" r:id="rId98"/>
    <hyperlink ref="Q100" r:id="rId99"/>
    <hyperlink ref="Q101" r:id="rId100"/>
    <hyperlink ref="Q102" r:id="rId101"/>
    <hyperlink ref="Q103" r:id="rId102"/>
    <hyperlink ref="Q104" r:id="rId103"/>
    <hyperlink ref="Q105" r:id="rId104"/>
    <hyperlink ref="Q106" r:id="rId105"/>
    <hyperlink ref="Q107" r:id="rId106"/>
    <hyperlink ref="Q108" r:id="rId107"/>
    <hyperlink ref="Q109" r:id="rId108"/>
    <hyperlink ref="Q110" r:id="rId109"/>
    <hyperlink ref="Q111" r:id="rId110"/>
    <hyperlink ref="Q112" r:id="rId111"/>
    <hyperlink ref="Q113" r:id="rId112"/>
    <hyperlink ref="Q114" r:id="rId113"/>
    <hyperlink ref="Q115" r:id="rId114"/>
    <hyperlink ref="Q116" r:id="rId115"/>
    <hyperlink ref="Q117" r:id="rId116"/>
    <hyperlink ref="Q118" r:id="rId117"/>
    <hyperlink ref="Q119" r:id="rId118"/>
    <hyperlink ref="Q120" r:id="rId119"/>
    <hyperlink ref="Q121" r:id="rId120"/>
    <hyperlink ref="Q122" r:id="rId121"/>
    <hyperlink ref="Q123" r:id="rId122"/>
    <hyperlink ref="Q124" r:id="rId123"/>
    <hyperlink ref="Q125" r:id="rId124"/>
    <hyperlink ref="Q126" r:id="rId125"/>
    <hyperlink ref="Q127" r:id="rId126"/>
    <hyperlink ref="Q128" r:id="rId127"/>
    <hyperlink ref="Q129" r:id="rId128"/>
    <hyperlink ref="Q130" r:id="rId129"/>
    <hyperlink ref="Q131" r:id="rId130"/>
    <hyperlink ref="Q132" r:id="rId131"/>
    <hyperlink ref="Q133" r:id="rId132"/>
    <hyperlink ref="Q134" r:id="rId133"/>
    <hyperlink ref="Q135" r:id="rId134"/>
    <hyperlink ref="Q136" r:id="rId135"/>
    <hyperlink ref="Q137" r:id="rId136"/>
    <hyperlink ref="Q138" r:id="rId137"/>
    <hyperlink ref="Q139" r:id="rId138"/>
    <hyperlink ref="Q140" r:id="rId139"/>
    <hyperlink ref="Q141" r:id="rId140"/>
    <hyperlink ref="Q142" r:id="rId141"/>
    <hyperlink ref="Q143" r:id="rId142"/>
    <hyperlink ref="Q145" r:id="rId143"/>
    <hyperlink ref="Q146" r:id="rId144"/>
    <hyperlink ref="Q147" r:id="rId145"/>
    <hyperlink ref="Q148" r:id="rId146"/>
    <hyperlink ref="Q149" r:id="rId147"/>
    <hyperlink ref="Q150" r:id="rId148"/>
    <hyperlink ref="Q151" r:id="rId149"/>
    <hyperlink ref="Q152" r:id="rId150"/>
    <hyperlink ref="Q153" r:id="rId151"/>
    <hyperlink ref="Q154" r:id="rId152"/>
    <hyperlink ref="Q155" r:id="rId153"/>
    <hyperlink ref="Q156" r:id="rId154"/>
    <hyperlink ref="Q157" r:id="rId155"/>
    <hyperlink ref="Q158" r:id="rId156"/>
    <hyperlink ref="Q159" r:id="rId157"/>
    <hyperlink ref="Q160" r:id="rId158"/>
    <hyperlink ref="Q161" r:id="rId159"/>
    <hyperlink ref="Q162" r:id="rId160"/>
    <hyperlink ref="Q163" r:id="rId161"/>
    <hyperlink ref="Q164" r:id="rId162"/>
    <hyperlink ref="Q165" r:id="rId163"/>
    <hyperlink ref="Q166" r:id="rId164"/>
    <hyperlink ref="Q167" r:id="rId165"/>
    <hyperlink ref="Q168" r:id="rId166"/>
    <hyperlink ref="Q169" r:id="rId167"/>
    <hyperlink ref="Q170" r:id="rId168"/>
    <hyperlink ref="Q171" r:id="rId169"/>
    <hyperlink ref="Q172" r:id="rId170"/>
    <hyperlink ref="Q173" r:id="rId171"/>
    <hyperlink ref="Q174" r:id="rId172"/>
    <hyperlink ref="Q175" r:id="rId173"/>
    <hyperlink ref="Q176" r:id="rId174"/>
    <hyperlink ref="Q177" r:id="rId175"/>
    <hyperlink ref="Q178" r:id="rId176"/>
    <hyperlink ref="Q179" r:id="rId177"/>
    <hyperlink ref="Q180" r:id="rId178"/>
    <hyperlink ref="Q181" r:id="rId179"/>
    <hyperlink ref="Q183" r:id="rId180"/>
    <hyperlink ref="Q184" r:id="rId181"/>
    <hyperlink ref="Q185" r:id="rId182"/>
    <hyperlink ref="Q186" r:id="rId183"/>
    <hyperlink ref="Q187" r:id="rId184"/>
    <hyperlink ref="Q188" r:id="rId185"/>
    <hyperlink ref="Q191" r:id="rId186"/>
    <hyperlink ref="Q192" r:id="rId187"/>
    <hyperlink ref="Q194" r:id="rId188"/>
    <hyperlink ref="Q195" r:id="rId189"/>
    <hyperlink ref="Q197" r:id="rId190"/>
    <hyperlink ref="Q198" r:id="rId191"/>
    <hyperlink ref="Q203" r:id="rId192"/>
    <hyperlink ref="Q204" r:id="rId193"/>
    <hyperlink ref="Q205" r:id="rId194"/>
    <hyperlink ref="Q206" r:id="rId195"/>
    <hyperlink ref="Q207" r:id="rId196"/>
    <hyperlink ref="Q208" r:id="rId197"/>
    <hyperlink ref="Q209" r:id="rId198"/>
    <hyperlink ref="Q210" r:id="rId199"/>
    <hyperlink ref="Q211" r:id="rId200"/>
    <hyperlink ref="Q212" r:id="rId201"/>
    <hyperlink ref="Q213" r:id="rId202"/>
    <hyperlink ref="Q214" r:id="rId203"/>
    <hyperlink ref="Q215" r:id="rId204"/>
    <hyperlink ref="Q216" r:id="rId205"/>
    <hyperlink ref="Q217" r:id="rId206"/>
    <hyperlink ref="Q218" r:id="rId207"/>
    <hyperlink ref="Q219" r:id="rId208"/>
    <hyperlink ref="Q220" r:id="rId209"/>
    <hyperlink ref="Q221" r:id="rId210"/>
    <hyperlink ref="Q222" r:id="rId211"/>
    <hyperlink ref="Q223" r:id="rId212"/>
    <hyperlink ref="Q224" r:id="rId213"/>
    <hyperlink ref="Q225" r:id="rId214"/>
    <hyperlink ref="Q226" r:id="rId215"/>
    <hyperlink ref="Q227" r:id="rId216"/>
    <hyperlink ref="Q228" r:id="rId217"/>
    <hyperlink ref="Q229" r:id="rId218"/>
    <hyperlink ref="Q230" r:id="rId219"/>
    <hyperlink ref="Q231" r:id="rId220"/>
    <hyperlink ref="Q232" r:id="rId221"/>
    <hyperlink ref="Q233" r:id="rId222"/>
    <hyperlink ref="Q234" r:id="rId223"/>
    <hyperlink ref="Q235" r:id="rId224"/>
    <hyperlink ref="Q236" r:id="rId225"/>
    <hyperlink ref="Q237" r:id="rId226"/>
    <hyperlink ref="Q238" r:id="rId227"/>
    <hyperlink ref="Q239" r:id="rId228"/>
    <hyperlink ref="Q240" r:id="rId229"/>
    <hyperlink ref="Q241" r:id="rId230"/>
    <hyperlink ref="Q242" r:id="rId231"/>
    <hyperlink ref="Q243" r:id="rId232"/>
    <hyperlink ref="Q244" r:id="rId233"/>
    <hyperlink ref="Q245" r:id="rId234"/>
    <hyperlink ref="Q246" r:id="rId235"/>
    <hyperlink ref="Q247" r:id="rId236"/>
    <hyperlink ref="Q248" r:id="rId237"/>
    <hyperlink ref="Q249" r:id="rId238"/>
    <hyperlink ref="Q250" r:id="rId239"/>
    <hyperlink ref="Q251" r:id="rId240"/>
    <hyperlink ref="Q252" r:id="rId241"/>
    <hyperlink ref="Q253" r:id="rId242"/>
    <hyperlink ref="Q254" r:id="rId243"/>
    <hyperlink ref="Q255" r:id="rId244"/>
    <hyperlink ref="Q256" r:id="rId245"/>
    <hyperlink ref="Q257" r:id="rId246"/>
    <hyperlink ref="Q258" r:id="rId247"/>
    <hyperlink ref="Q259" r:id="rId248"/>
    <hyperlink ref="Q260" r:id="rId249"/>
    <hyperlink ref="Q261" r:id="rId250"/>
    <hyperlink ref="Q262" r:id="rId251"/>
    <hyperlink ref="Q263" r:id="rId252"/>
    <hyperlink ref="Q264" r:id="rId253"/>
    <hyperlink ref="Q265" r:id="rId254"/>
    <hyperlink ref="Q266" r:id="rId255"/>
    <hyperlink ref="Q267" r:id="rId256"/>
    <hyperlink ref="Q268" r:id="rId257"/>
    <hyperlink ref="Q269" r:id="rId258"/>
    <hyperlink ref="Q270" r:id="rId259"/>
    <hyperlink ref="Q271" r:id="rId260"/>
    <hyperlink ref="Q272" r:id="rId261"/>
    <hyperlink ref="Q273" r:id="rId262"/>
    <hyperlink ref="Q274" r:id="rId263"/>
    <hyperlink ref="Q275" r:id="rId264"/>
    <hyperlink ref="Q276" r:id="rId265"/>
    <hyperlink ref="Q277" r:id="rId266"/>
    <hyperlink ref="Q278" r:id="rId267"/>
    <hyperlink ref="Q279" r:id="rId268"/>
    <hyperlink ref="Q280" r:id="rId269"/>
    <hyperlink ref="Q281" r:id="rId270"/>
    <hyperlink ref="Q282" r:id="rId271"/>
    <hyperlink ref="Q283" r:id="rId272"/>
    <hyperlink ref="Q284" r:id="rId273"/>
    <hyperlink ref="Q285" r:id="rId274"/>
    <hyperlink ref="Q286" r:id="rId275"/>
    <hyperlink ref="Q287" r:id="rId276"/>
    <hyperlink ref="Q288" r:id="rId277"/>
    <hyperlink ref="Q289" r:id="rId278"/>
    <hyperlink ref="Q290" r:id="rId279"/>
    <hyperlink ref="Q291" r:id="rId280"/>
    <hyperlink ref="Q292" r:id="rId281"/>
    <hyperlink ref="Q293" r:id="rId282"/>
    <hyperlink ref="Q294" r:id="rId283"/>
    <hyperlink ref="Q295" r:id="rId284"/>
    <hyperlink ref="Q296" r:id="rId285"/>
    <hyperlink ref="Q297" r:id="rId286"/>
    <hyperlink ref="Q298" r:id="rId287"/>
    <hyperlink ref="Q299" r:id="rId288"/>
    <hyperlink ref="Q300" r:id="rId289"/>
    <hyperlink ref="Q301" r:id="rId290"/>
    <hyperlink ref="Q302" r:id="rId291"/>
    <hyperlink ref="Q303" r:id="rId292"/>
    <hyperlink ref="Q304" r:id="rId293"/>
    <hyperlink ref="Q305" r:id="rId294"/>
    <hyperlink ref="Q306" r:id="rId295"/>
    <hyperlink ref="Q307" r:id="rId296"/>
    <hyperlink ref="Q308" r:id="rId297"/>
    <hyperlink ref="Q309" r:id="rId298"/>
    <hyperlink ref="Q310" r:id="rId299"/>
    <hyperlink ref="Q311" r:id="rId300"/>
    <hyperlink ref="Q312" r:id="rId301"/>
    <hyperlink ref="Q313" r:id="rId302"/>
    <hyperlink ref="Q314" r:id="rId303"/>
    <hyperlink ref="Q315" r:id="rId304"/>
    <hyperlink ref="Q316" r:id="rId305"/>
    <hyperlink ref="Q317" r:id="rId306"/>
    <hyperlink ref="Q318" r:id="rId307"/>
    <hyperlink ref="Q319" r:id="rId308"/>
    <hyperlink ref="Q320" r:id="rId309"/>
    <hyperlink ref="Q321" r:id="rId310"/>
    <hyperlink ref="Q322" r:id="rId311"/>
    <hyperlink ref="Q323" r:id="rId312"/>
    <hyperlink ref="Q324" r:id="rId313"/>
    <hyperlink ref="Q325" r:id="rId314"/>
    <hyperlink ref="Q326" r:id="rId315"/>
    <hyperlink ref="Q327" r:id="rId316"/>
    <hyperlink ref="Q328" r:id="rId317"/>
    <hyperlink ref="Q329" r:id="rId318"/>
    <hyperlink ref="Q330" r:id="rId319"/>
    <hyperlink ref="Q331" r:id="rId320"/>
    <hyperlink ref="Q332" r:id="rId321"/>
    <hyperlink ref="Q333" r:id="rId322"/>
    <hyperlink ref="Q334" r:id="rId323"/>
    <hyperlink ref="Q335" r:id="rId324"/>
    <hyperlink ref="Q336" r:id="rId325"/>
    <hyperlink ref="Q337" r:id="rId326"/>
    <hyperlink ref="Q338" r:id="rId327"/>
    <hyperlink ref="Q339" r:id="rId328"/>
    <hyperlink ref="Q340" r:id="rId329"/>
    <hyperlink ref="Q341" r:id="rId330"/>
    <hyperlink ref="Q342" r:id="rId331"/>
    <hyperlink ref="Q343" r:id="rId332"/>
    <hyperlink ref="Q344" r:id="rId333"/>
    <hyperlink ref="Q345" r:id="rId334"/>
    <hyperlink ref="Q346" r:id="rId335"/>
    <hyperlink ref="Q347" r:id="rId336"/>
    <hyperlink ref="Q348" r:id="rId337"/>
    <hyperlink ref="Q349" r:id="rId338"/>
    <hyperlink ref="Q350" r:id="rId339"/>
    <hyperlink ref="Q351" r:id="rId340"/>
    <hyperlink ref="Q352" r:id="rId341"/>
    <hyperlink ref="Q353" r:id="rId342"/>
    <hyperlink ref="Q354" r:id="rId343"/>
    <hyperlink ref="Q355" r:id="rId344"/>
    <hyperlink ref="Q356" r:id="rId345"/>
    <hyperlink ref="Q357" r:id="rId346"/>
    <hyperlink ref="Q358" r:id="rId347"/>
    <hyperlink ref="Q359" r:id="rId348"/>
    <hyperlink ref="Q360" r:id="rId349"/>
    <hyperlink ref="Q361" r:id="rId350"/>
    <hyperlink ref="Q362" r:id="rId351"/>
    <hyperlink ref="Q363" r:id="rId352"/>
    <hyperlink ref="Q364" r:id="rId353"/>
    <hyperlink ref="Q365" r:id="rId354"/>
    <hyperlink ref="Q366" r:id="rId355"/>
    <hyperlink ref="Q367" r:id="rId356"/>
    <hyperlink ref="Q368" r:id="rId357"/>
    <hyperlink ref="Q369" r:id="rId358"/>
    <hyperlink ref="Q370" r:id="rId359"/>
    <hyperlink ref="Q371" r:id="rId360"/>
    <hyperlink ref="Q372" r:id="rId361"/>
    <hyperlink ref="Q373" r:id="rId362"/>
    <hyperlink ref="Q374" r:id="rId363"/>
    <hyperlink ref="Q375" r:id="rId364"/>
    <hyperlink ref="Q376" r:id="rId365"/>
    <hyperlink ref="Q377" r:id="rId366"/>
    <hyperlink ref="Q378" r:id="rId367"/>
    <hyperlink ref="Q379" r:id="rId368"/>
    <hyperlink ref="Q380" r:id="rId369"/>
    <hyperlink ref="Q381" r:id="rId370"/>
    <hyperlink ref="Q382" r:id="rId371"/>
    <hyperlink ref="Q383" r:id="rId372"/>
    <hyperlink ref="Q384" r:id="rId373"/>
    <hyperlink ref="Q385" r:id="rId374"/>
    <hyperlink ref="Q386" r:id="rId375"/>
    <hyperlink ref="Q387" r:id="rId376"/>
    <hyperlink ref="Q388" r:id="rId377"/>
    <hyperlink ref="Q389" r:id="rId378"/>
    <hyperlink ref="Q390" r:id="rId379"/>
    <hyperlink ref="Q391" r:id="rId380"/>
    <hyperlink ref="Q392" r:id="rId381"/>
    <hyperlink ref="Q393" r:id="rId382"/>
    <hyperlink ref="Q394" r:id="rId383"/>
    <hyperlink ref="Q395" r:id="rId384"/>
    <hyperlink ref="Q396" r:id="rId385"/>
    <hyperlink ref="Q397" r:id="rId386"/>
    <hyperlink ref="Q398" r:id="rId387"/>
    <hyperlink ref="Q399" r:id="rId388"/>
    <hyperlink ref="Q400" r:id="rId389"/>
    <hyperlink ref="Q401" r:id="rId390"/>
    <hyperlink ref="Q402" r:id="rId391"/>
    <hyperlink ref="Q403" r:id="rId392"/>
    <hyperlink ref="Q404" r:id="rId393"/>
    <hyperlink ref="Q405" r:id="rId394"/>
    <hyperlink ref="Q406" r:id="rId395"/>
    <hyperlink ref="Q407" r:id="rId396"/>
    <hyperlink ref="Q408" r:id="rId397"/>
    <hyperlink ref="Q409" r:id="rId398"/>
    <hyperlink ref="Q410" r:id="rId399"/>
    <hyperlink ref="Q411" r:id="rId400"/>
    <hyperlink ref="Q412" r:id="rId401"/>
    <hyperlink ref="Q413" r:id="rId402"/>
    <hyperlink ref="Q414" r:id="rId403"/>
    <hyperlink ref="Q415" r:id="rId404"/>
    <hyperlink ref="Q416" r:id="rId405"/>
    <hyperlink ref="Q417" r:id="rId406"/>
    <hyperlink ref="Q418" r:id="rId407"/>
    <hyperlink ref="Q419" r:id="rId408"/>
    <hyperlink ref="Q420" r:id="rId409"/>
    <hyperlink ref="Q421" r:id="rId410"/>
    <hyperlink ref="Q422" r:id="rId411"/>
    <hyperlink ref="Q423" r:id="rId412"/>
    <hyperlink ref="Q424" r:id="rId413"/>
    <hyperlink ref="Q425" r:id="rId414"/>
    <hyperlink ref="Q426" r:id="rId415"/>
    <hyperlink ref="Q427" r:id="rId416"/>
    <hyperlink ref="Q428" r:id="rId417"/>
    <hyperlink ref="Q429" r:id="rId418"/>
    <hyperlink ref="Q430" r:id="rId419"/>
    <hyperlink ref="Q431" r:id="rId420"/>
    <hyperlink ref="Q432" r:id="rId421"/>
    <hyperlink ref="Q433" r:id="rId422"/>
    <hyperlink ref="Q434" r:id="rId423"/>
    <hyperlink ref="Q435" r:id="rId424"/>
    <hyperlink ref="Q436" r:id="rId425"/>
    <hyperlink ref="Q437" r:id="rId426"/>
    <hyperlink ref="Q438" r:id="rId427"/>
    <hyperlink ref="Q439" r:id="rId428"/>
    <hyperlink ref="Q440" r:id="rId429"/>
    <hyperlink ref="Q441" r:id="rId430"/>
    <hyperlink ref="Q442" r:id="rId431"/>
    <hyperlink ref="Q443" r:id="rId432"/>
    <hyperlink ref="Q444" r:id="rId433"/>
    <hyperlink ref="Q445" r:id="rId434"/>
    <hyperlink ref="Q446" r:id="rId435"/>
    <hyperlink ref="Q447" r:id="rId436"/>
    <hyperlink ref="Q448" r:id="rId437"/>
    <hyperlink ref="Q449" r:id="rId438"/>
    <hyperlink ref="Q450" r:id="rId439"/>
    <hyperlink ref="Q451" r:id="rId440"/>
    <hyperlink ref="Q452" r:id="rId441"/>
    <hyperlink ref="Q453" r:id="rId442"/>
    <hyperlink ref="Q454" r:id="rId443"/>
    <hyperlink ref="Q455" r:id="rId444"/>
    <hyperlink ref="Q456" r:id="rId445"/>
    <hyperlink ref="Q457" r:id="rId446"/>
    <hyperlink ref="Q458" r:id="rId447"/>
    <hyperlink ref="Q459" r:id="rId448"/>
    <hyperlink ref="Q460" r:id="rId449"/>
    <hyperlink ref="Q461" r:id="rId450"/>
    <hyperlink ref="Q462" r:id="rId451"/>
    <hyperlink ref="Q463" r:id="rId452"/>
    <hyperlink ref="Q464" r:id="rId453"/>
    <hyperlink ref="Q465" r:id="rId454"/>
    <hyperlink ref="Q466" r:id="rId455"/>
    <hyperlink ref="Q467" r:id="rId456"/>
    <hyperlink ref="Q468" r:id="rId457"/>
    <hyperlink ref="Q469" r:id="rId458"/>
    <hyperlink ref="Q470" r:id="rId459"/>
    <hyperlink ref="Q471" r:id="rId460"/>
    <hyperlink ref="Q472" r:id="rId461"/>
    <hyperlink ref="Q473" r:id="rId462"/>
    <hyperlink ref="Q474" r:id="rId463"/>
    <hyperlink ref="Q475" r:id="rId464"/>
    <hyperlink ref="Q476" r:id="rId465"/>
    <hyperlink ref="Q477" r:id="rId466"/>
    <hyperlink ref="Q478" r:id="rId467"/>
    <hyperlink ref="Q479" r:id="rId468"/>
    <hyperlink ref="Q480" r:id="rId469"/>
    <hyperlink ref="Q481" r:id="rId470"/>
    <hyperlink ref="Q482" r:id="rId471"/>
    <hyperlink ref="Q483" r:id="rId472"/>
    <hyperlink ref="Q484" r:id="rId473"/>
    <hyperlink ref="Q485" r:id="rId474"/>
    <hyperlink ref="Q486" r:id="rId475"/>
    <hyperlink ref="Q487" r:id="rId476"/>
    <hyperlink ref="Q488" r:id="rId477"/>
    <hyperlink ref="Q489" r:id="rId478"/>
    <hyperlink ref="Q490" r:id="rId479"/>
    <hyperlink ref="Q491" r:id="rId480"/>
    <hyperlink ref="Q492" r:id="rId481"/>
    <hyperlink ref="Q493" r:id="rId482"/>
    <hyperlink ref="Q494" r:id="rId483"/>
    <hyperlink ref="Q495" r:id="rId484"/>
    <hyperlink ref="Q496" r:id="rId485"/>
    <hyperlink ref="Q497" r:id="rId486"/>
    <hyperlink ref="Q498" r:id="rId487"/>
    <hyperlink ref="Q499" r:id="rId488"/>
    <hyperlink ref="Q500" r:id="rId489"/>
    <hyperlink ref="Q501" r:id="rId490"/>
    <hyperlink ref="Q502" r:id="rId491"/>
    <hyperlink ref="Q503" r:id="rId492"/>
    <hyperlink ref="Q504" r:id="rId493"/>
    <hyperlink ref="Q505" r:id="rId494"/>
    <hyperlink ref="Q506" r:id="rId495"/>
    <hyperlink ref="Q507" r:id="rId496"/>
    <hyperlink ref="Q508" r:id="rId497"/>
    <hyperlink ref="Q510" r:id="rId498"/>
    <hyperlink ref="Q511" r:id="rId499"/>
    <hyperlink ref="Q512" r:id="rId500"/>
    <hyperlink ref="Q513" r:id="rId501"/>
    <hyperlink ref="Q514" r:id="rId502"/>
    <hyperlink ref="Q515" r:id="rId503"/>
    <hyperlink ref="Q516" r:id="rId504"/>
    <hyperlink ref="Q517" r:id="rId505"/>
    <hyperlink ref="Q518" r:id="rId506"/>
    <hyperlink ref="Q519" r:id="rId507"/>
    <hyperlink ref="Q520" r:id="rId508"/>
    <hyperlink ref="Q521" r:id="rId509"/>
    <hyperlink ref="Q522" r:id="rId510"/>
    <hyperlink ref="Q523" r:id="rId511"/>
    <hyperlink ref="Q524" r:id="rId512"/>
    <hyperlink ref="Q525" r:id="rId513"/>
    <hyperlink ref="Q526" r:id="rId514"/>
    <hyperlink ref="Q527" r:id="rId515"/>
    <hyperlink ref="Q528" r:id="rId516"/>
    <hyperlink ref="Q529" r:id="rId517"/>
    <hyperlink ref="Q530" r:id="rId518"/>
    <hyperlink ref="Q531" r:id="rId519"/>
    <hyperlink ref="Q532" r:id="rId520"/>
    <hyperlink ref="Q533" r:id="rId521"/>
    <hyperlink ref="Q534" r:id="rId522"/>
    <hyperlink ref="Q535" r:id="rId523"/>
    <hyperlink ref="Q536" r:id="rId524"/>
    <hyperlink ref="Q537" r:id="rId525"/>
    <hyperlink ref="Q538" r:id="rId526"/>
    <hyperlink ref="Q539" r:id="rId527"/>
    <hyperlink ref="Q540" r:id="rId528"/>
    <hyperlink ref="Q541" r:id="rId529"/>
    <hyperlink ref="Q542" r:id="rId530"/>
    <hyperlink ref="Q543" r:id="rId531"/>
    <hyperlink ref="Q544" r:id="rId532"/>
    <hyperlink ref="Q545" r:id="rId533"/>
    <hyperlink ref="Q546" r:id="rId534"/>
    <hyperlink ref="Q547" r:id="rId535"/>
    <hyperlink ref="Q548" r:id="rId536"/>
    <hyperlink ref="Q549" r:id="rId537"/>
    <hyperlink ref="Q550" r:id="rId538"/>
    <hyperlink ref="Q551" r:id="rId539"/>
    <hyperlink ref="Q552" r:id="rId540"/>
    <hyperlink ref="Q553" r:id="rId541"/>
    <hyperlink ref="Q554" r:id="rId542"/>
    <hyperlink ref="Q555" r:id="rId543"/>
    <hyperlink ref="Q556" r:id="rId544"/>
    <hyperlink ref="Q557" r:id="rId545"/>
    <hyperlink ref="Q558" r:id="rId546"/>
    <hyperlink ref="Q559" r:id="rId547"/>
    <hyperlink ref="Q560" r:id="rId548"/>
    <hyperlink ref="Q561" r:id="rId549"/>
    <hyperlink ref="Q562" r:id="rId550"/>
    <hyperlink ref="Q563" r:id="rId551"/>
    <hyperlink ref="Q564" r:id="rId552"/>
    <hyperlink ref="Q565" r:id="rId553"/>
    <hyperlink ref="Q566" r:id="rId554"/>
    <hyperlink ref="Q567" r:id="rId555"/>
    <hyperlink ref="Q568" r:id="rId556"/>
    <hyperlink ref="Q569" r:id="rId557"/>
    <hyperlink ref="Q570" r:id="rId558"/>
    <hyperlink ref="Q571" r:id="rId559"/>
    <hyperlink ref="Q572" r:id="rId560"/>
    <hyperlink ref="Q573" r:id="rId561"/>
    <hyperlink ref="Q574" r:id="rId562"/>
    <hyperlink ref="Q575" r:id="rId563"/>
    <hyperlink ref="Q576" r:id="rId564"/>
  </hyperlinks>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3"/>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2" width="34" customWidth="1"/>
    <col min="3" max="4" width="11" customWidth="1"/>
    <col min="5" max="5" width="8" customWidth="1"/>
    <col min="6" max="6" width="30" customWidth="1"/>
    <col min="7" max="7" width="40" customWidth="1"/>
    <col min="8" max="8" width="36" customWidth="1"/>
    <col min="9" max="9" width="34" customWidth="1"/>
    <col min="10" max="10" width="12" customWidth="1"/>
    <col min="11" max="11" width="20" customWidth="1"/>
    <col min="12" max="12" width="44" customWidth="1"/>
    <col min="13" max="13" width="60" customWidth="1"/>
  </cols>
  <sheetData>
    <row r="1" ht="30" customHeight="1" spans="1:13" x14ac:dyDescent="0.25">
      <c r="A1" s="3" t="s">
        <v>1480</v>
      </c>
      <c r="B1" s="3" t="s">
        <v>1481</v>
      </c>
      <c r="C1" s="3" t="s">
        <v>653</v>
      </c>
      <c r="D1" s="3" t="s">
        <v>654</v>
      </c>
      <c r="E1" s="3" t="s">
        <v>655</v>
      </c>
      <c r="F1" s="3" t="s">
        <v>1482</v>
      </c>
      <c r="G1" s="3" t="s">
        <v>657</v>
      </c>
      <c r="H1" s="3" t="s">
        <v>658</v>
      </c>
      <c r="I1" s="3" t="s">
        <v>230</v>
      </c>
      <c r="J1" s="3" t="s">
        <v>660</v>
      </c>
      <c r="K1" s="3" t="s">
        <v>661</v>
      </c>
      <c r="L1" s="3" t="s">
        <v>662</v>
      </c>
      <c r="M1" s="3" t="s">
        <v>663</v>
      </c>
    </row>
    <row r="2" ht="45" customHeight="1" spans="1:13" x14ac:dyDescent="0.25">
      <c r="A2" s="6" t="s">
        <v>1483</v>
      </c>
      <c r="B2" s="6" t="s">
        <v>1484</v>
      </c>
      <c r="C2" s="20" t="s">
        <v>842</v>
      </c>
      <c r="D2" s="27">
        <v>0.17</v>
      </c>
      <c r="E2" s="20" t="s">
        <v>1485</v>
      </c>
      <c r="F2" s="6"/>
      <c r="G2" s="6" t="s">
        <v>1486</v>
      </c>
      <c r="H2" s="6" t="s">
        <v>1487</v>
      </c>
      <c r="I2" s="6" t="s">
        <v>1488</v>
      </c>
      <c r="J2" s="20" t="s">
        <v>1489</v>
      </c>
      <c r="K2" s="20" t="s">
        <v>269</v>
      </c>
      <c r="L2" s="22" t="s">
        <v>1490</v>
      </c>
      <c r="M2" s="6" t="s">
        <v>1491</v>
      </c>
    </row>
    <row r="3" ht="45" customHeight="1" spans="1:13" x14ac:dyDescent="0.25">
      <c r="A3" s="6" t="s">
        <v>1483</v>
      </c>
      <c r="B3" s="6" t="s">
        <v>1492</v>
      </c>
      <c r="C3" s="20" t="s">
        <v>842</v>
      </c>
      <c r="D3" s="27">
        <v>0.19</v>
      </c>
      <c r="E3" s="20" t="s">
        <v>1485</v>
      </c>
      <c r="F3" s="6"/>
      <c r="G3" s="6" t="s">
        <v>1486</v>
      </c>
      <c r="H3" s="6" t="s">
        <v>1487</v>
      </c>
      <c r="I3" s="6" t="s">
        <v>1488</v>
      </c>
      <c r="J3" s="20" t="s">
        <v>1489</v>
      </c>
      <c r="K3" s="20" t="s">
        <v>269</v>
      </c>
      <c r="L3" s="22" t="s">
        <v>1490</v>
      </c>
      <c r="M3" s="6" t="s">
        <v>1491</v>
      </c>
    </row>
    <row r="4" ht="45" customHeight="1" spans="1:13" x14ac:dyDescent="0.25">
      <c r="A4" s="6" t="s">
        <v>1483</v>
      </c>
      <c r="B4" s="6" t="s">
        <v>1493</v>
      </c>
      <c r="C4" s="20" t="s">
        <v>842</v>
      </c>
      <c r="D4" s="27">
        <v>0.22</v>
      </c>
      <c r="E4" s="20" t="s">
        <v>1485</v>
      </c>
      <c r="F4" s="6"/>
      <c r="G4" s="6" t="s">
        <v>1486</v>
      </c>
      <c r="H4" s="6" t="s">
        <v>1487</v>
      </c>
      <c r="I4" s="6" t="s">
        <v>1488</v>
      </c>
      <c r="J4" s="20" t="s">
        <v>1489</v>
      </c>
      <c r="K4" s="20" t="s">
        <v>269</v>
      </c>
      <c r="L4" s="22" t="s">
        <v>1490</v>
      </c>
      <c r="M4" s="6" t="s">
        <v>1491</v>
      </c>
    </row>
    <row r="5" ht="45" customHeight="1" spans="1:13" x14ac:dyDescent="0.25">
      <c r="A5" s="6" t="s">
        <v>1483</v>
      </c>
      <c r="B5" s="6" t="s">
        <v>1484</v>
      </c>
      <c r="C5" s="20" t="s">
        <v>842</v>
      </c>
      <c r="D5" s="27">
        <v>0.08</v>
      </c>
      <c r="E5" s="20" t="s">
        <v>1485</v>
      </c>
      <c r="F5" s="6"/>
      <c r="G5" s="6" t="s">
        <v>1486</v>
      </c>
      <c r="H5" s="6" t="s">
        <v>1487</v>
      </c>
      <c r="I5" s="6" t="s">
        <v>1488</v>
      </c>
      <c r="J5" s="20" t="s">
        <v>1489</v>
      </c>
      <c r="K5" s="20" t="s">
        <v>269</v>
      </c>
      <c r="L5" s="22" t="s">
        <v>1490</v>
      </c>
      <c r="M5" s="6" t="s">
        <v>1491</v>
      </c>
    </row>
    <row r="6" ht="45" customHeight="1" spans="1:13" x14ac:dyDescent="0.25">
      <c r="A6" s="6" t="s">
        <v>1483</v>
      </c>
      <c r="B6" s="6" t="s">
        <v>1492</v>
      </c>
      <c r="C6" s="20" t="s">
        <v>842</v>
      </c>
      <c r="D6" s="27">
        <v>0.1</v>
      </c>
      <c r="E6" s="20" t="s">
        <v>1485</v>
      </c>
      <c r="F6" s="6"/>
      <c r="G6" s="6" t="s">
        <v>1486</v>
      </c>
      <c r="H6" s="6" t="s">
        <v>1487</v>
      </c>
      <c r="I6" s="6" t="s">
        <v>1488</v>
      </c>
      <c r="J6" s="20" t="s">
        <v>1489</v>
      </c>
      <c r="K6" s="20" t="s">
        <v>269</v>
      </c>
      <c r="L6" s="22" t="s">
        <v>1490</v>
      </c>
      <c r="M6" s="6" t="s">
        <v>1491</v>
      </c>
    </row>
    <row r="7" ht="45" customHeight="1" spans="1:13" x14ac:dyDescent="0.25">
      <c r="A7" s="6" t="s">
        <v>1483</v>
      </c>
      <c r="B7" s="6" t="s">
        <v>1493</v>
      </c>
      <c r="C7" s="20" t="s">
        <v>842</v>
      </c>
      <c r="D7" s="27">
        <v>0.11</v>
      </c>
      <c r="E7" s="20" t="s">
        <v>1485</v>
      </c>
      <c r="F7" s="6"/>
      <c r="G7" s="6" t="s">
        <v>1486</v>
      </c>
      <c r="H7" s="6" t="s">
        <v>1487</v>
      </c>
      <c r="I7" s="6" t="s">
        <v>1488</v>
      </c>
      <c r="J7" s="20" t="s">
        <v>1489</v>
      </c>
      <c r="K7" s="20" t="s">
        <v>269</v>
      </c>
      <c r="L7" s="22" t="s">
        <v>1490</v>
      </c>
      <c r="M7" s="6" t="s">
        <v>1491</v>
      </c>
    </row>
    <row r="8" ht="45" customHeight="1" spans="1:13" x14ac:dyDescent="0.25">
      <c r="A8" s="6" t="s">
        <v>1483</v>
      </c>
      <c r="B8" s="6" t="s">
        <v>1494</v>
      </c>
      <c r="C8" s="20" t="s">
        <v>842</v>
      </c>
      <c r="D8" s="27">
        <v>0.29</v>
      </c>
      <c r="E8" s="20" t="s">
        <v>1485</v>
      </c>
      <c r="F8" s="6"/>
      <c r="G8" s="6" t="s">
        <v>1486</v>
      </c>
      <c r="H8" s="6" t="s">
        <v>1487</v>
      </c>
      <c r="I8" s="6" t="s">
        <v>1488</v>
      </c>
      <c r="J8" s="20" t="s">
        <v>1489</v>
      </c>
      <c r="K8" s="20" t="s">
        <v>269</v>
      </c>
      <c r="L8" s="22" t="s">
        <v>1490</v>
      </c>
      <c r="M8" s="6" t="s">
        <v>1491</v>
      </c>
    </row>
    <row r="9" ht="45" customHeight="1" spans="1:13" x14ac:dyDescent="0.25">
      <c r="A9" s="6" t="s">
        <v>1483</v>
      </c>
      <c r="B9" s="6" t="s">
        <v>1495</v>
      </c>
      <c r="C9" s="20" t="s">
        <v>842</v>
      </c>
      <c r="D9" s="27">
        <v>0.33</v>
      </c>
      <c r="E9" s="20" t="s">
        <v>1485</v>
      </c>
      <c r="F9" s="6"/>
      <c r="G9" s="6" t="s">
        <v>1486</v>
      </c>
      <c r="H9" s="6" t="s">
        <v>1487</v>
      </c>
      <c r="I9" s="6" t="s">
        <v>1488</v>
      </c>
      <c r="J9" s="20" t="s">
        <v>1489</v>
      </c>
      <c r="K9" s="20" t="s">
        <v>269</v>
      </c>
      <c r="L9" s="22" t="s">
        <v>1490</v>
      </c>
      <c r="M9" s="6" t="s">
        <v>1491</v>
      </c>
    </row>
    <row r="10" ht="45" customHeight="1" spans="1:13" x14ac:dyDescent="0.25">
      <c r="A10" s="6" t="s">
        <v>1483</v>
      </c>
      <c r="B10" s="6" t="s">
        <v>1496</v>
      </c>
      <c r="C10" s="20" t="s">
        <v>842</v>
      </c>
      <c r="D10" s="27">
        <v>0.37</v>
      </c>
      <c r="E10" s="20" t="s">
        <v>1485</v>
      </c>
      <c r="F10" s="6"/>
      <c r="G10" s="6" t="s">
        <v>1486</v>
      </c>
      <c r="H10" s="6" t="s">
        <v>1487</v>
      </c>
      <c r="I10" s="6" t="s">
        <v>1488</v>
      </c>
      <c r="J10" s="20" t="s">
        <v>1489</v>
      </c>
      <c r="K10" s="20" t="s">
        <v>269</v>
      </c>
      <c r="L10" s="22" t="s">
        <v>1490</v>
      </c>
      <c r="M10" s="6" t="s">
        <v>1491</v>
      </c>
    </row>
    <row r="11" ht="45" customHeight="1" spans="1:13" x14ac:dyDescent="0.25">
      <c r="A11" s="6" t="s">
        <v>1483</v>
      </c>
      <c r="B11" s="6" t="s">
        <v>1494</v>
      </c>
      <c r="C11" s="20" t="s">
        <v>842</v>
      </c>
      <c r="D11" s="27">
        <v>0.14</v>
      </c>
      <c r="E11" s="20" t="s">
        <v>1485</v>
      </c>
      <c r="F11" s="6"/>
      <c r="G11" s="6" t="s">
        <v>1486</v>
      </c>
      <c r="H11" s="6" t="s">
        <v>1487</v>
      </c>
      <c r="I11" s="6" t="s">
        <v>1488</v>
      </c>
      <c r="J11" s="20" t="s">
        <v>1489</v>
      </c>
      <c r="K11" s="20" t="s">
        <v>269</v>
      </c>
      <c r="L11" s="22" t="s">
        <v>1490</v>
      </c>
      <c r="M11" s="6" t="s">
        <v>1491</v>
      </c>
    </row>
    <row r="12" ht="45" customHeight="1" spans="1:13" x14ac:dyDescent="0.25">
      <c r="A12" s="6" t="s">
        <v>1483</v>
      </c>
      <c r="B12" s="6" t="s">
        <v>1495</v>
      </c>
      <c r="C12" s="20" t="s">
        <v>842</v>
      </c>
      <c r="D12" s="27">
        <v>0.16</v>
      </c>
      <c r="E12" s="20" t="s">
        <v>1485</v>
      </c>
      <c r="F12" s="6"/>
      <c r="G12" s="6" t="s">
        <v>1486</v>
      </c>
      <c r="H12" s="6" t="s">
        <v>1487</v>
      </c>
      <c r="I12" s="6" t="s">
        <v>1488</v>
      </c>
      <c r="J12" s="20" t="s">
        <v>1489</v>
      </c>
      <c r="K12" s="20" t="s">
        <v>269</v>
      </c>
      <c r="L12" s="22" t="s">
        <v>1490</v>
      </c>
      <c r="M12" s="6" t="s">
        <v>1491</v>
      </c>
    </row>
    <row r="13" ht="45" customHeight="1" spans="1:13" x14ac:dyDescent="0.25">
      <c r="A13" s="6" t="s">
        <v>1483</v>
      </c>
      <c r="B13" s="6" t="s">
        <v>1496</v>
      </c>
      <c r="C13" s="20" t="s">
        <v>842</v>
      </c>
      <c r="D13" s="27">
        <v>0.19</v>
      </c>
      <c r="E13" s="20" t="s">
        <v>1485</v>
      </c>
      <c r="F13" s="6"/>
      <c r="G13" s="6" t="s">
        <v>1486</v>
      </c>
      <c r="H13" s="6" t="s">
        <v>1487</v>
      </c>
      <c r="I13" s="6" t="s">
        <v>1488</v>
      </c>
      <c r="J13" s="20" t="s">
        <v>1489</v>
      </c>
      <c r="K13" s="20" t="s">
        <v>269</v>
      </c>
      <c r="L13" s="22" t="s">
        <v>1490</v>
      </c>
      <c r="M13" s="6" t="s">
        <v>1491</v>
      </c>
    </row>
    <row r="14" ht="45" customHeight="1" spans="1:13" x14ac:dyDescent="0.25">
      <c r="A14" s="6" t="s">
        <v>1483</v>
      </c>
      <c r="B14" s="6" t="s">
        <v>1497</v>
      </c>
      <c r="C14" s="20" t="s">
        <v>842</v>
      </c>
      <c r="D14" s="27">
        <v>0.48</v>
      </c>
      <c r="E14" s="20" t="s">
        <v>1485</v>
      </c>
      <c r="F14" s="6"/>
      <c r="G14" s="6" t="s">
        <v>1486</v>
      </c>
      <c r="H14" s="6" t="s">
        <v>1487</v>
      </c>
      <c r="I14" s="6" t="s">
        <v>1488</v>
      </c>
      <c r="J14" s="20" t="s">
        <v>1489</v>
      </c>
      <c r="K14" s="20" t="s">
        <v>269</v>
      </c>
      <c r="L14" s="22" t="s">
        <v>1490</v>
      </c>
      <c r="M14" s="6" t="s">
        <v>1491</v>
      </c>
    </row>
    <row r="15" ht="45" customHeight="1" spans="1:13" x14ac:dyDescent="0.25">
      <c r="A15" s="6" t="s">
        <v>1483</v>
      </c>
      <c r="B15" s="6" t="s">
        <v>1498</v>
      </c>
      <c r="C15" s="20" t="s">
        <v>842</v>
      </c>
      <c r="D15" s="27">
        <v>0.55</v>
      </c>
      <c r="E15" s="20" t="s">
        <v>1485</v>
      </c>
      <c r="F15" s="6"/>
      <c r="G15" s="6" t="s">
        <v>1486</v>
      </c>
      <c r="H15" s="6" t="s">
        <v>1487</v>
      </c>
      <c r="I15" s="6" t="s">
        <v>1488</v>
      </c>
      <c r="J15" s="20" t="s">
        <v>1489</v>
      </c>
      <c r="K15" s="20" t="s">
        <v>269</v>
      </c>
      <c r="L15" s="22" t="s">
        <v>1490</v>
      </c>
      <c r="M15" s="6" t="s">
        <v>1491</v>
      </c>
    </row>
    <row r="16" ht="45" customHeight="1" spans="1:13" x14ac:dyDescent="0.25">
      <c r="A16" s="6" t="s">
        <v>1483</v>
      </c>
      <c r="B16" s="6" t="s">
        <v>1499</v>
      </c>
      <c r="C16" s="20" t="s">
        <v>842</v>
      </c>
      <c r="D16" s="27">
        <v>0.62</v>
      </c>
      <c r="E16" s="20" t="s">
        <v>1485</v>
      </c>
      <c r="F16" s="6"/>
      <c r="G16" s="6" t="s">
        <v>1486</v>
      </c>
      <c r="H16" s="6" t="s">
        <v>1487</v>
      </c>
      <c r="I16" s="6" t="s">
        <v>1488</v>
      </c>
      <c r="J16" s="20" t="s">
        <v>1489</v>
      </c>
      <c r="K16" s="20" t="s">
        <v>269</v>
      </c>
      <c r="L16" s="22" t="s">
        <v>1490</v>
      </c>
      <c r="M16" s="6" t="s">
        <v>1491</v>
      </c>
    </row>
    <row r="17" ht="45" customHeight="1" spans="1:13" x14ac:dyDescent="0.25">
      <c r="A17" s="6" t="s">
        <v>1483</v>
      </c>
      <c r="B17" s="6" t="s">
        <v>1497</v>
      </c>
      <c r="C17" s="20" t="s">
        <v>842</v>
      </c>
      <c r="D17" s="27">
        <v>0.24</v>
      </c>
      <c r="E17" s="20" t="s">
        <v>1485</v>
      </c>
      <c r="F17" s="6"/>
      <c r="G17" s="6" t="s">
        <v>1486</v>
      </c>
      <c r="H17" s="6" t="s">
        <v>1487</v>
      </c>
      <c r="I17" s="6" t="s">
        <v>1488</v>
      </c>
      <c r="J17" s="20" t="s">
        <v>1489</v>
      </c>
      <c r="K17" s="20" t="s">
        <v>269</v>
      </c>
      <c r="L17" s="22" t="s">
        <v>1490</v>
      </c>
      <c r="M17" s="6" t="s">
        <v>1491</v>
      </c>
    </row>
    <row r="18" ht="45" customHeight="1" spans="1:13" x14ac:dyDescent="0.25">
      <c r="A18" s="6" t="s">
        <v>1483</v>
      </c>
      <c r="B18" s="6" t="s">
        <v>1498</v>
      </c>
      <c r="C18" s="20" t="s">
        <v>842</v>
      </c>
      <c r="D18" s="27">
        <v>0.28</v>
      </c>
      <c r="E18" s="20" t="s">
        <v>1485</v>
      </c>
      <c r="F18" s="6"/>
      <c r="G18" s="6" t="s">
        <v>1486</v>
      </c>
      <c r="H18" s="6" t="s">
        <v>1487</v>
      </c>
      <c r="I18" s="6" t="s">
        <v>1488</v>
      </c>
      <c r="J18" s="20" t="s">
        <v>1489</v>
      </c>
      <c r="K18" s="20" t="s">
        <v>269</v>
      </c>
      <c r="L18" s="22" t="s">
        <v>1490</v>
      </c>
      <c r="M18" s="6" t="s">
        <v>1491</v>
      </c>
    </row>
    <row r="19" ht="45" customHeight="1" spans="1:13" x14ac:dyDescent="0.25">
      <c r="A19" s="6" t="s">
        <v>1483</v>
      </c>
      <c r="B19" s="6" t="s">
        <v>1499</v>
      </c>
      <c r="C19" s="20" t="s">
        <v>842</v>
      </c>
      <c r="D19" s="27">
        <v>0.31</v>
      </c>
      <c r="E19" s="20" t="s">
        <v>1485</v>
      </c>
      <c r="F19" s="6"/>
      <c r="G19" s="6" t="s">
        <v>1486</v>
      </c>
      <c r="H19" s="6" t="s">
        <v>1487</v>
      </c>
      <c r="I19" s="6" t="s">
        <v>1488</v>
      </c>
      <c r="J19" s="20" t="s">
        <v>1489</v>
      </c>
      <c r="K19" s="20" t="s">
        <v>269</v>
      </c>
      <c r="L19" s="22" t="s">
        <v>1490</v>
      </c>
      <c r="M19" s="6" t="s">
        <v>1491</v>
      </c>
    </row>
    <row r="20" ht="45" customHeight="1" spans="1:13" x14ac:dyDescent="0.25">
      <c r="A20" s="6" t="s">
        <v>1500</v>
      </c>
      <c r="B20" s="6" t="s">
        <v>1501</v>
      </c>
      <c r="C20" s="20" t="s">
        <v>706</v>
      </c>
      <c r="D20" s="27"/>
      <c r="E20" s="20" t="s">
        <v>668</v>
      </c>
      <c r="F20" s="6"/>
      <c r="G20" s="6" t="s">
        <v>1502</v>
      </c>
      <c r="H20" s="6"/>
      <c r="I20" s="6" t="s">
        <v>1503</v>
      </c>
      <c r="J20" s="20" t="s">
        <v>1504</v>
      </c>
      <c r="K20" s="20" t="s">
        <v>236</v>
      </c>
      <c r="L20" s="22" t="s">
        <v>1505</v>
      </c>
      <c r="M20" s="6" t="s">
        <v>1506</v>
      </c>
    </row>
    <row r="21" ht="45" customHeight="1" spans="1:13" x14ac:dyDescent="0.25">
      <c r="A21" s="6" t="s">
        <v>1507</v>
      </c>
      <c r="B21" s="6" t="s">
        <v>1508</v>
      </c>
      <c r="C21" s="20" t="s">
        <v>667</v>
      </c>
      <c r="D21" s="27">
        <v>7.5</v>
      </c>
      <c r="E21" s="20" t="s">
        <v>1450</v>
      </c>
      <c r="F21" s="6"/>
      <c r="G21" s="6" t="s">
        <v>1509</v>
      </c>
      <c r="H21" s="6" t="s">
        <v>1510</v>
      </c>
      <c r="I21" s="6" t="s">
        <v>1511</v>
      </c>
      <c r="J21" s="20" t="s">
        <v>1512</v>
      </c>
      <c r="K21" s="20" t="s">
        <v>269</v>
      </c>
      <c r="L21" s="22" t="s">
        <v>1513</v>
      </c>
      <c r="M21" s="6" t="s">
        <v>1514</v>
      </c>
    </row>
    <row r="22" ht="45" customHeight="1" spans="1:13" x14ac:dyDescent="0.25">
      <c r="A22" s="6" t="s">
        <v>1507</v>
      </c>
      <c r="B22" s="6" t="s">
        <v>1508</v>
      </c>
      <c r="C22" s="20" t="s">
        <v>927</v>
      </c>
      <c r="D22" s="27">
        <v>19</v>
      </c>
      <c r="E22" s="20" t="s">
        <v>1450</v>
      </c>
      <c r="F22" s="6"/>
      <c r="G22" s="6" t="s">
        <v>1515</v>
      </c>
      <c r="H22" s="6" t="s">
        <v>1510</v>
      </c>
      <c r="I22" s="6" t="s">
        <v>1511</v>
      </c>
      <c r="J22" s="20" t="s">
        <v>1512</v>
      </c>
      <c r="K22" s="20" t="s">
        <v>269</v>
      </c>
      <c r="L22" s="22" t="s">
        <v>1513</v>
      </c>
      <c r="M22" s="6" t="s">
        <v>1514</v>
      </c>
    </row>
    <row r="23" ht="45" customHeight="1" spans="1:13" x14ac:dyDescent="0.25">
      <c r="A23" s="6" t="s">
        <v>1507</v>
      </c>
      <c r="B23" s="6" t="s">
        <v>1508</v>
      </c>
      <c r="C23" s="20" t="s">
        <v>674</v>
      </c>
      <c r="D23" s="27">
        <v>38</v>
      </c>
      <c r="E23" s="20" t="s">
        <v>1450</v>
      </c>
      <c r="F23" s="6"/>
      <c r="G23" s="6" t="s">
        <v>1516</v>
      </c>
      <c r="H23" s="6" t="s">
        <v>1510</v>
      </c>
      <c r="I23" s="6" t="s">
        <v>1511</v>
      </c>
      <c r="J23" s="20" t="s">
        <v>1512</v>
      </c>
      <c r="K23" s="20" t="s">
        <v>269</v>
      </c>
      <c r="L23" s="22" t="s">
        <v>1513</v>
      </c>
      <c r="M23" s="6" t="s">
        <v>1514</v>
      </c>
    </row>
    <row r="24" ht="45" customHeight="1" spans="1:13" x14ac:dyDescent="0.25">
      <c r="A24" s="6" t="s">
        <v>1507</v>
      </c>
      <c r="B24" s="6" t="s">
        <v>1508</v>
      </c>
      <c r="C24" s="20" t="s">
        <v>735</v>
      </c>
      <c r="D24" s="27">
        <v>380</v>
      </c>
      <c r="E24" s="20" t="s">
        <v>1450</v>
      </c>
      <c r="F24" s="6"/>
      <c r="G24" s="6" t="s">
        <v>1517</v>
      </c>
      <c r="H24" s="6" t="s">
        <v>1510</v>
      </c>
      <c r="I24" s="6" t="s">
        <v>1511</v>
      </c>
      <c r="J24" s="20" t="s">
        <v>1512</v>
      </c>
      <c r="K24" s="20" t="s">
        <v>269</v>
      </c>
      <c r="L24" s="22" t="s">
        <v>1513</v>
      </c>
      <c r="M24" s="6" t="s">
        <v>1514</v>
      </c>
    </row>
    <row r="25" ht="45" customHeight="1" spans="1:13" x14ac:dyDescent="0.25">
      <c r="A25" s="6" t="s">
        <v>1507</v>
      </c>
      <c r="B25" s="6" t="s">
        <v>1518</v>
      </c>
      <c r="C25" s="20" t="s">
        <v>667</v>
      </c>
      <c r="D25" s="27">
        <v>13</v>
      </c>
      <c r="E25" s="20" t="s">
        <v>1450</v>
      </c>
      <c r="F25" s="6"/>
      <c r="G25" s="6" t="s">
        <v>1509</v>
      </c>
      <c r="H25" s="6" t="s">
        <v>1510</v>
      </c>
      <c r="I25" s="6" t="s">
        <v>1511</v>
      </c>
      <c r="J25" s="20" t="s">
        <v>1512</v>
      </c>
      <c r="K25" s="20" t="s">
        <v>269</v>
      </c>
      <c r="L25" s="22" t="s">
        <v>1513</v>
      </c>
      <c r="M25" s="6" t="s">
        <v>1514</v>
      </c>
    </row>
    <row r="26" ht="45" customHeight="1" spans="1:13" x14ac:dyDescent="0.25">
      <c r="A26" s="6" t="s">
        <v>1507</v>
      </c>
      <c r="B26" s="6" t="s">
        <v>1518</v>
      </c>
      <c r="C26" s="20" t="s">
        <v>927</v>
      </c>
      <c r="D26" s="27">
        <v>33</v>
      </c>
      <c r="E26" s="20" t="s">
        <v>1450</v>
      </c>
      <c r="F26" s="6"/>
      <c r="G26" s="6" t="s">
        <v>1515</v>
      </c>
      <c r="H26" s="6" t="s">
        <v>1510</v>
      </c>
      <c r="I26" s="6" t="s">
        <v>1511</v>
      </c>
      <c r="J26" s="20" t="s">
        <v>1512</v>
      </c>
      <c r="K26" s="20" t="s">
        <v>269</v>
      </c>
      <c r="L26" s="22" t="s">
        <v>1513</v>
      </c>
      <c r="M26" s="6" t="s">
        <v>1514</v>
      </c>
    </row>
    <row r="27" ht="45" customHeight="1" spans="1:13" x14ac:dyDescent="0.25">
      <c r="A27" s="6" t="s">
        <v>1507</v>
      </c>
      <c r="B27" s="6" t="s">
        <v>1518</v>
      </c>
      <c r="C27" s="20" t="s">
        <v>674</v>
      </c>
      <c r="D27" s="27">
        <v>66.5</v>
      </c>
      <c r="E27" s="20" t="s">
        <v>1450</v>
      </c>
      <c r="F27" s="6"/>
      <c r="G27" s="6" t="s">
        <v>1516</v>
      </c>
      <c r="H27" s="6" t="s">
        <v>1510</v>
      </c>
      <c r="I27" s="6" t="s">
        <v>1511</v>
      </c>
      <c r="J27" s="20" t="s">
        <v>1512</v>
      </c>
      <c r="K27" s="20" t="s">
        <v>269</v>
      </c>
      <c r="L27" s="22" t="s">
        <v>1513</v>
      </c>
      <c r="M27" s="6" t="s">
        <v>1514</v>
      </c>
    </row>
    <row r="28" ht="45" customHeight="1" spans="1:13" x14ac:dyDescent="0.25">
      <c r="A28" s="6" t="s">
        <v>1507</v>
      </c>
      <c r="B28" s="6" t="s">
        <v>1518</v>
      </c>
      <c r="C28" s="20" t="s">
        <v>735</v>
      </c>
      <c r="D28" s="27">
        <v>665</v>
      </c>
      <c r="E28" s="20" t="s">
        <v>1450</v>
      </c>
      <c r="F28" s="6"/>
      <c r="G28" s="6" t="s">
        <v>1517</v>
      </c>
      <c r="H28" s="6" t="s">
        <v>1510</v>
      </c>
      <c r="I28" s="6" t="s">
        <v>1511</v>
      </c>
      <c r="J28" s="20" t="s">
        <v>1512</v>
      </c>
      <c r="K28" s="20" t="s">
        <v>269</v>
      </c>
      <c r="L28" s="22" t="s">
        <v>1513</v>
      </c>
      <c r="M28" s="6" t="s">
        <v>1514</v>
      </c>
    </row>
    <row r="29" ht="45" customHeight="1" spans="1:13" x14ac:dyDescent="0.25">
      <c r="A29" s="6" t="s">
        <v>1507</v>
      </c>
      <c r="B29" s="6" t="s">
        <v>1519</v>
      </c>
      <c r="C29" s="20" t="s">
        <v>667</v>
      </c>
      <c r="D29" s="27">
        <v>17</v>
      </c>
      <c r="E29" s="20" t="s">
        <v>1450</v>
      </c>
      <c r="F29" s="6"/>
      <c r="G29" s="6" t="s">
        <v>1509</v>
      </c>
      <c r="H29" s="6" t="s">
        <v>1510</v>
      </c>
      <c r="I29" s="6" t="s">
        <v>1511</v>
      </c>
      <c r="J29" s="20" t="s">
        <v>1512</v>
      </c>
      <c r="K29" s="20" t="s">
        <v>269</v>
      </c>
      <c r="L29" s="22" t="s">
        <v>1513</v>
      </c>
      <c r="M29" s="6" t="s">
        <v>1514</v>
      </c>
    </row>
    <row r="30" ht="45" customHeight="1" spans="1:13" x14ac:dyDescent="0.25">
      <c r="A30" s="6" t="s">
        <v>1507</v>
      </c>
      <c r="B30" s="6" t="s">
        <v>1519</v>
      </c>
      <c r="C30" s="20" t="s">
        <v>927</v>
      </c>
      <c r="D30" s="27">
        <v>42.5</v>
      </c>
      <c r="E30" s="20" t="s">
        <v>1450</v>
      </c>
      <c r="F30" s="6"/>
      <c r="G30" s="6" t="s">
        <v>1515</v>
      </c>
      <c r="H30" s="6" t="s">
        <v>1510</v>
      </c>
      <c r="I30" s="6" t="s">
        <v>1511</v>
      </c>
      <c r="J30" s="20" t="s">
        <v>1512</v>
      </c>
      <c r="K30" s="20" t="s">
        <v>269</v>
      </c>
      <c r="L30" s="22" t="s">
        <v>1513</v>
      </c>
      <c r="M30" s="6" t="s">
        <v>1514</v>
      </c>
    </row>
    <row r="31" ht="45" customHeight="1" spans="1:13" x14ac:dyDescent="0.25">
      <c r="A31" s="6" t="s">
        <v>1507</v>
      </c>
      <c r="B31" s="6" t="s">
        <v>1519</v>
      </c>
      <c r="C31" s="20" t="s">
        <v>674</v>
      </c>
      <c r="D31" s="27">
        <v>85.5</v>
      </c>
      <c r="E31" s="20" t="s">
        <v>1450</v>
      </c>
      <c r="F31" s="6"/>
      <c r="G31" s="6" t="s">
        <v>1516</v>
      </c>
      <c r="H31" s="6" t="s">
        <v>1510</v>
      </c>
      <c r="I31" s="6" t="s">
        <v>1511</v>
      </c>
      <c r="J31" s="20" t="s">
        <v>1512</v>
      </c>
      <c r="K31" s="20" t="s">
        <v>269</v>
      </c>
      <c r="L31" s="22" t="s">
        <v>1513</v>
      </c>
      <c r="M31" s="6" t="s">
        <v>1514</v>
      </c>
    </row>
    <row r="32" ht="45" customHeight="1" spans="1:13" x14ac:dyDescent="0.25">
      <c r="A32" s="6" t="s">
        <v>1507</v>
      </c>
      <c r="B32" s="6" t="s">
        <v>1519</v>
      </c>
      <c r="C32" s="20" t="s">
        <v>735</v>
      </c>
      <c r="D32" s="27">
        <v>855</v>
      </c>
      <c r="E32" s="20" t="s">
        <v>1450</v>
      </c>
      <c r="F32" s="6"/>
      <c r="G32" s="6" t="s">
        <v>1517</v>
      </c>
      <c r="H32" s="6" t="s">
        <v>1510</v>
      </c>
      <c r="I32" s="6" t="s">
        <v>1511</v>
      </c>
      <c r="J32" s="20" t="s">
        <v>1512</v>
      </c>
      <c r="K32" s="20" t="s">
        <v>269</v>
      </c>
      <c r="L32" s="22" t="s">
        <v>1513</v>
      </c>
      <c r="M32" s="6" t="s">
        <v>1514</v>
      </c>
    </row>
    <row r="33" ht="45" customHeight="1" spans="1:13" x14ac:dyDescent="0.25">
      <c r="A33" s="6" t="s">
        <v>1507</v>
      </c>
      <c r="B33" s="6" t="s">
        <v>1520</v>
      </c>
      <c r="C33" s="20" t="s">
        <v>667</v>
      </c>
      <c r="D33" s="27">
        <v>28.5</v>
      </c>
      <c r="E33" s="20" t="s">
        <v>1450</v>
      </c>
      <c r="F33" s="6"/>
      <c r="G33" s="6" t="s">
        <v>1509</v>
      </c>
      <c r="H33" s="6" t="s">
        <v>1510</v>
      </c>
      <c r="I33" s="6" t="s">
        <v>1511</v>
      </c>
      <c r="J33" s="20" t="s">
        <v>1512</v>
      </c>
      <c r="K33" s="20" t="s">
        <v>269</v>
      </c>
      <c r="L33" s="22" t="s">
        <v>1513</v>
      </c>
      <c r="M33" s="6" t="s">
        <v>1514</v>
      </c>
    </row>
    <row r="34" ht="45" customHeight="1" spans="1:13" x14ac:dyDescent="0.25">
      <c r="A34" s="6" t="s">
        <v>1507</v>
      </c>
      <c r="B34" s="6" t="s">
        <v>1520</v>
      </c>
      <c r="C34" s="20" t="s">
        <v>927</v>
      </c>
      <c r="D34" s="27">
        <v>71</v>
      </c>
      <c r="E34" s="20" t="s">
        <v>1450</v>
      </c>
      <c r="F34" s="6"/>
      <c r="G34" s="6" t="s">
        <v>1515</v>
      </c>
      <c r="H34" s="6" t="s">
        <v>1510</v>
      </c>
      <c r="I34" s="6" t="s">
        <v>1511</v>
      </c>
      <c r="J34" s="20" t="s">
        <v>1512</v>
      </c>
      <c r="K34" s="20" t="s">
        <v>269</v>
      </c>
      <c r="L34" s="22" t="s">
        <v>1513</v>
      </c>
      <c r="M34" s="6" t="s">
        <v>1514</v>
      </c>
    </row>
    <row r="35" ht="45" customHeight="1" spans="1:13" x14ac:dyDescent="0.25">
      <c r="A35" s="6" t="s">
        <v>1507</v>
      </c>
      <c r="B35" s="6" t="s">
        <v>1520</v>
      </c>
      <c r="C35" s="20" t="s">
        <v>674</v>
      </c>
      <c r="D35" s="27">
        <v>142.5</v>
      </c>
      <c r="E35" s="20" t="s">
        <v>1450</v>
      </c>
      <c r="F35" s="6"/>
      <c r="G35" s="6" t="s">
        <v>1516</v>
      </c>
      <c r="H35" s="6" t="s">
        <v>1510</v>
      </c>
      <c r="I35" s="6" t="s">
        <v>1511</v>
      </c>
      <c r="J35" s="20" t="s">
        <v>1512</v>
      </c>
      <c r="K35" s="20" t="s">
        <v>269</v>
      </c>
      <c r="L35" s="22" t="s">
        <v>1513</v>
      </c>
      <c r="M35" s="6" t="s">
        <v>1514</v>
      </c>
    </row>
    <row r="36" ht="45" customHeight="1" spans="1:13" x14ac:dyDescent="0.25">
      <c r="A36" s="6" t="s">
        <v>1507</v>
      </c>
      <c r="B36" s="6" t="s">
        <v>1520</v>
      </c>
      <c r="C36" s="20" t="s">
        <v>735</v>
      </c>
      <c r="D36" s="27">
        <v>1425</v>
      </c>
      <c r="E36" s="20" t="s">
        <v>1450</v>
      </c>
      <c r="F36" s="6"/>
      <c r="G36" s="6" t="s">
        <v>1517</v>
      </c>
      <c r="H36" s="6" t="s">
        <v>1510</v>
      </c>
      <c r="I36" s="6" t="s">
        <v>1511</v>
      </c>
      <c r="J36" s="20" t="s">
        <v>1512</v>
      </c>
      <c r="K36" s="20" t="s">
        <v>269</v>
      </c>
      <c r="L36" s="22" t="s">
        <v>1513</v>
      </c>
      <c r="M36" s="6" t="s">
        <v>1514</v>
      </c>
    </row>
    <row r="37" ht="45" customHeight="1" spans="1:13" x14ac:dyDescent="0.25">
      <c r="A37" s="6" t="s">
        <v>1521</v>
      </c>
      <c r="B37" s="6" t="s">
        <v>1522</v>
      </c>
      <c r="C37" s="20" t="s">
        <v>667</v>
      </c>
      <c r="D37" s="27">
        <v>46</v>
      </c>
      <c r="E37" s="20" t="s">
        <v>668</v>
      </c>
      <c r="F37" s="6"/>
      <c r="G37" s="6" t="s">
        <v>1523</v>
      </c>
      <c r="H37" s="6" t="s">
        <v>1524</v>
      </c>
      <c r="I37" s="6" t="s">
        <v>1525</v>
      </c>
      <c r="J37" s="20" t="s">
        <v>1526</v>
      </c>
      <c r="K37" s="20" t="s">
        <v>269</v>
      </c>
      <c r="L37" s="22" t="s">
        <v>1527</v>
      </c>
      <c r="M37" s="6" t="s">
        <v>1528</v>
      </c>
    </row>
    <row r="38" ht="45" customHeight="1" spans="1:13" x14ac:dyDescent="0.25">
      <c r="A38" s="6" t="s">
        <v>1521</v>
      </c>
      <c r="B38" s="6" t="s">
        <v>1522</v>
      </c>
      <c r="C38" s="20" t="s">
        <v>927</v>
      </c>
      <c r="D38" s="27">
        <v>62</v>
      </c>
      <c r="E38" s="20" t="s">
        <v>668</v>
      </c>
      <c r="F38" s="6"/>
      <c r="G38" s="6" t="s">
        <v>1529</v>
      </c>
      <c r="H38" s="6" t="s">
        <v>1524</v>
      </c>
      <c r="I38" s="6" t="s">
        <v>1525</v>
      </c>
      <c r="J38" s="20" t="s">
        <v>1526</v>
      </c>
      <c r="K38" s="20" t="s">
        <v>269</v>
      </c>
      <c r="L38" s="22" t="s">
        <v>1527</v>
      </c>
      <c r="M38" s="6" t="s">
        <v>1528</v>
      </c>
    </row>
    <row r="39" ht="45" customHeight="1" spans="1:13" x14ac:dyDescent="0.25">
      <c r="A39" s="6" t="s">
        <v>1521</v>
      </c>
      <c r="B39" s="6" t="s">
        <v>1522</v>
      </c>
      <c r="C39" s="20" t="s">
        <v>674</v>
      </c>
      <c r="D39" s="27">
        <v>98</v>
      </c>
      <c r="E39" s="20" t="s">
        <v>668</v>
      </c>
      <c r="F39" s="6"/>
      <c r="G39" s="6" t="s">
        <v>1530</v>
      </c>
      <c r="H39" s="6" t="s">
        <v>1524</v>
      </c>
      <c r="I39" s="6" t="s">
        <v>1525</v>
      </c>
      <c r="J39" s="20" t="s">
        <v>1526</v>
      </c>
      <c r="K39" s="20" t="s">
        <v>297</v>
      </c>
      <c r="L39" s="22" t="s">
        <v>1527</v>
      </c>
      <c r="M39" s="6" t="s">
        <v>1531</v>
      </c>
    </row>
    <row r="40" ht="45" customHeight="1" spans="1:13" x14ac:dyDescent="0.25">
      <c r="A40" s="6" t="s">
        <v>1521</v>
      </c>
      <c r="B40" s="6" t="s">
        <v>1522</v>
      </c>
      <c r="C40" s="20" t="s">
        <v>674</v>
      </c>
      <c r="D40" s="27">
        <v>156</v>
      </c>
      <c r="E40" s="20" t="s">
        <v>668</v>
      </c>
      <c r="F40" s="6"/>
      <c r="G40" s="6" t="s">
        <v>1532</v>
      </c>
      <c r="H40" s="6" t="s">
        <v>1524</v>
      </c>
      <c r="I40" s="6" t="s">
        <v>1525</v>
      </c>
      <c r="J40" s="20" t="s">
        <v>1526</v>
      </c>
      <c r="K40" s="20" t="s">
        <v>297</v>
      </c>
      <c r="L40" s="22" t="s">
        <v>1527</v>
      </c>
      <c r="M40" s="6" t="s">
        <v>1531</v>
      </c>
    </row>
    <row r="41" ht="45" customHeight="1" spans="1:13" x14ac:dyDescent="0.25">
      <c r="A41" s="6" t="s">
        <v>1521</v>
      </c>
      <c r="B41" s="6" t="s">
        <v>1522</v>
      </c>
      <c r="C41" s="20" t="s">
        <v>735</v>
      </c>
      <c r="D41" s="27">
        <v>521</v>
      </c>
      <c r="E41" s="20" t="s">
        <v>668</v>
      </c>
      <c r="F41" s="6"/>
      <c r="G41" s="6" t="s">
        <v>1533</v>
      </c>
      <c r="H41" s="6" t="s">
        <v>1524</v>
      </c>
      <c r="I41" s="6" t="s">
        <v>1525</v>
      </c>
      <c r="J41" s="20" t="s">
        <v>1526</v>
      </c>
      <c r="K41" s="20" t="s">
        <v>269</v>
      </c>
      <c r="L41" s="22" t="s">
        <v>1527</v>
      </c>
      <c r="M41" s="6" t="s">
        <v>1528</v>
      </c>
    </row>
    <row r="42" ht="45" customHeight="1" spans="1:13" x14ac:dyDescent="0.25">
      <c r="A42" s="6" t="s">
        <v>1521</v>
      </c>
      <c r="B42" s="6" t="s">
        <v>1534</v>
      </c>
      <c r="C42" s="20" t="s">
        <v>667</v>
      </c>
      <c r="D42" s="27">
        <v>52</v>
      </c>
      <c r="E42" s="20" t="s">
        <v>668</v>
      </c>
      <c r="F42" s="6"/>
      <c r="G42" s="6" t="s">
        <v>1523</v>
      </c>
      <c r="H42" s="6" t="s">
        <v>1524</v>
      </c>
      <c r="I42" s="6" t="s">
        <v>1525</v>
      </c>
      <c r="J42" s="20" t="s">
        <v>1526</v>
      </c>
      <c r="K42" s="20" t="s">
        <v>269</v>
      </c>
      <c r="L42" s="22" t="s">
        <v>1527</v>
      </c>
      <c r="M42" s="6" t="s">
        <v>1528</v>
      </c>
    </row>
    <row r="43" ht="45" customHeight="1" spans="1:13" x14ac:dyDescent="0.25">
      <c r="A43" s="6" t="s">
        <v>1521</v>
      </c>
      <c r="B43" s="6" t="s">
        <v>1534</v>
      </c>
      <c r="C43" s="20" t="s">
        <v>927</v>
      </c>
      <c r="D43" s="27">
        <v>69</v>
      </c>
      <c r="E43" s="20" t="s">
        <v>668</v>
      </c>
      <c r="F43" s="6"/>
      <c r="G43" s="6" t="s">
        <v>1529</v>
      </c>
      <c r="H43" s="6" t="s">
        <v>1524</v>
      </c>
      <c r="I43" s="6" t="s">
        <v>1525</v>
      </c>
      <c r="J43" s="20" t="s">
        <v>1526</v>
      </c>
      <c r="K43" s="20" t="s">
        <v>269</v>
      </c>
      <c r="L43" s="22" t="s">
        <v>1527</v>
      </c>
      <c r="M43" s="6" t="s">
        <v>1528</v>
      </c>
    </row>
    <row r="44" ht="45" customHeight="1" spans="1:13" x14ac:dyDescent="0.25">
      <c r="A44" s="6" t="s">
        <v>1521</v>
      </c>
      <c r="B44" s="6" t="s">
        <v>1534</v>
      </c>
      <c r="C44" s="20" t="s">
        <v>674</v>
      </c>
      <c r="D44" s="27">
        <v>110</v>
      </c>
      <c r="E44" s="20" t="s">
        <v>668</v>
      </c>
      <c r="F44" s="6"/>
      <c r="G44" s="6" t="s">
        <v>1530</v>
      </c>
      <c r="H44" s="6" t="s">
        <v>1524</v>
      </c>
      <c r="I44" s="6" t="s">
        <v>1525</v>
      </c>
      <c r="J44" s="20" t="s">
        <v>1526</v>
      </c>
      <c r="K44" s="20" t="s">
        <v>297</v>
      </c>
      <c r="L44" s="22" t="s">
        <v>1527</v>
      </c>
      <c r="M44" s="6" t="s">
        <v>1531</v>
      </c>
    </row>
    <row r="45" ht="45" customHeight="1" spans="1:13" x14ac:dyDescent="0.25">
      <c r="A45" s="6" t="s">
        <v>1521</v>
      </c>
      <c r="B45" s="6" t="s">
        <v>1534</v>
      </c>
      <c r="C45" s="20" t="s">
        <v>674</v>
      </c>
      <c r="D45" s="27">
        <v>173</v>
      </c>
      <c r="E45" s="20" t="s">
        <v>668</v>
      </c>
      <c r="F45" s="6"/>
      <c r="G45" s="6" t="s">
        <v>1532</v>
      </c>
      <c r="H45" s="6" t="s">
        <v>1524</v>
      </c>
      <c r="I45" s="6" t="s">
        <v>1525</v>
      </c>
      <c r="J45" s="20" t="s">
        <v>1526</v>
      </c>
      <c r="K45" s="20" t="s">
        <v>297</v>
      </c>
      <c r="L45" s="22" t="s">
        <v>1527</v>
      </c>
      <c r="M45" s="6" t="s">
        <v>1531</v>
      </c>
    </row>
    <row r="46" ht="45" customHeight="1" spans="1:13" x14ac:dyDescent="0.25">
      <c r="A46" s="6" t="s">
        <v>1521</v>
      </c>
      <c r="B46" s="6" t="s">
        <v>1534</v>
      </c>
      <c r="C46" s="20" t="s">
        <v>735</v>
      </c>
      <c r="D46" s="27">
        <v>579</v>
      </c>
      <c r="E46" s="20" t="s">
        <v>668</v>
      </c>
      <c r="F46" s="6"/>
      <c r="G46" s="6" t="s">
        <v>1533</v>
      </c>
      <c r="H46" s="6" t="s">
        <v>1524</v>
      </c>
      <c r="I46" s="6" t="s">
        <v>1525</v>
      </c>
      <c r="J46" s="20" t="s">
        <v>1526</v>
      </c>
      <c r="K46" s="20" t="s">
        <v>269</v>
      </c>
      <c r="L46" s="22" t="s">
        <v>1527</v>
      </c>
      <c r="M46" s="6" t="s">
        <v>1528</v>
      </c>
    </row>
    <row r="47" ht="45" customHeight="1" spans="1:13" x14ac:dyDescent="0.25">
      <c r="A47" s="6" t="s">
        <v>1521</v>
      </c>
      <c r="B47" s="6" t="s">
        <v>1535</v>
      </c>
      <c r="C47" s="20" t="s">
        <v>667</v>
      </c>
      <c r="D47" s="27">
        <v>59</v>
      </c>
      <c r="E47" s="20" t="s">
        <v>668</v>
      </c>
      <c r="F47" s="6"/>
      <c r="G47" s="6" t="s">
        <v>1523</v>
      </c>
      <c r="H47" s="6" t="s">
        <v>1524</v>
      </c>
      <c r="I47" s="6" t="s">
        <v>1525</v>
      </c>
      <c r="J47" s="20" t="s">
        <v>1526</v>
      </c>
      <c r="K47" s="20" t="s">
        <v>269</v>
      </c>
      <c r="L47" s="22" t="s">
        <v>1527</v>
      </c>
      <c r="M47" s="6" t="s">
        <v>1528</v>
      </c>
    </row>
    <row r="48" ht="45" customHeight="1" spans="1:13" x14ac:dyDescent="0.25">
      <c r="A48" s="6" t="s">
        <v>1521</v>
      </c>
      <c r="B48" s="6" t="s">
        <v>1535</v>
      </c>
      <c r="C48" s="20" t="s">
        <v>927</v>
      </c>
      <c r="D48" s="27">
        <v>79</v>
      </c>
      <c r="E48" s="20" t="s">
        <v>668</v>
      </c>
      <c r="F48" s="6"/>
      <c r="G48" s="6" t="s">
        <v>1529</v>
      </c>
      <c r="H48" s="6" t="s">
        <v>1524</v>
      </c>
      <c r="I48" s="6" t="s">
        <v>1525</v>
      </c>
      <c r="J48" s="20" t="s">
        <v>1526</v>
      </c>
      <c r="K48" s="20" t="s">
        <v>269</v>
      </c>
      <c r="L48" s="22" t="s">
        <v>1527</v>
      </c>
      <c r="M48" s="6" t="s">
        <v>1528</v>
      </c>
    </row>
    <row r="49" ht="45" customHeight="1" spans="1:13" x14ac:dyDescent="0.25">
      <c r="A49" s="6" t="s">
        <v>1521</v>
      </c>
      <c r="B49" s="6" t="s">
        <v>1535</v>
      </c>
      <c r="C49" s="20" t="s">
        <v>674</v>
      </c>
      <c r="D49" s="27">
        <v>126</v>
      </c>
      <c r="E49" s="20" t="s">
        <v>668</v>
      </c>
      <c r="F49" s="6"/>
      <c r="G49" s="6" t="s">
        <v>1530</v>
      </c>
      <c r="H49" s="6" t="s">
        <v>1524</v>
      </c>
      <c r="I49" s="6" t="s">
        <v>1525</v>
      </c>
      <c r="J49" s="20" t="s">
        <v>1526</v>
      </c>
      <c r="K49" s="20" t="s">
        <v>297</v>
      </c>
      <c r="L49" s="22" t="s">
        <v>1527</v>
      </c>
      <c r="M49" s="6" t="s">
        <v>1531</v>
      </c>
    </row>
    <row r="50" ht="45" customHeight="1" spans="1:13" x14ac:dyDescent="0.25">
      <c r="A50" s="6" t="s">
        <v>1521</v>
      </c>
      <c r="B50" s="6" t="s">
        <v>1535</v>
      </c>
      <c r="C50" s="20" t="s">
        <v>674</v>
      </c>
      <c r="D50" s="27">
        <v>199</v>
      </c>
      <c r="E50" s="20" t="s">
        <v>668</v>
      </c>
      <c r="F50" s="6"/>
      <c r="G50" s="6" t="s">
        <v>1532</v>
      </c>
      <c r="H50" s="6" t="s">
        <v>1524</v>
      </c>
      <c r="I50" s="6" t="s">
        <v>1525</v>
      </c>
      <c r="J50" s="20" t="s">
        <v>1526</v>
      </c>
      <c r="K50" s="20" t="s">
        <v>297</v>
      </c>
      <c r="L50" s="22" t="s">
        <v>1527</v>
      </c>
      <c r="M50" s="6" t="s">
        <v>1531</v>
      </c>
    </row>
    <row r="51" ht="45" customHeight="1" spans="1:13" x14ac:dyDescent="0.25">
      <c r="A51" s="6" t="s">
        <v>1521</v>
      </c>
      <c r="B51" s="6" t="s">
        <v>1535</v>
      </c>
      <c r="C51" s="20" t="s">
        <v>735</v>
      </c>
      <c r="D51" s="27">
        <v>665</v>
      </c>
      <c r="E51" s="20" t="s">
        <v>668</v>
      </c>
      <c r="F51" s="6"/>
      <c r="G51" s="6" t="s">
        <v>1533</v>
      </c>
      <c r="H51" s="6" t="s">
        <v>1524</v>
      </c>
      <c r="I51" s="6" t="s">
        <v>1525</v>
      </c>
      <c r="J51" s="20" t="s">
        <v>1526</v>
      </c>
      <c r="K51" s="20" t="s">
        <v>269</v>
      </c>
      <c r="L51" s="22" t="s">
        <v>1527</v>
      </c>
      <c r="M51" s="6" t="s">
        <v>1528</v>
      </c>
    </row>
    <row r="52" ht="45" customHeight="1" spans="1:13" x14ac:dyDescent="0.25">
      <c r="A52" s="6" t="s">
        <v>1521</v>
      </c>
      <c r="B52" s="6" t="s">
        <v>1536</v>
      </c>
      <c r="C52" s="20" t="s">
        <v>667</v>
      </c>
      <c r="D52" s="27">
        <v>67</v>
      </c>
      <c r="E52" s="20" t="s">
        <v>668</v>
      </c>
      <c r="F52" s="6"/>
      <c r="G52" s="6" t="s">
        <v>1523</v>
      </c>
      <c r="H52" s="6" t="s">
        <v>1524</v>
      </c>
      <c r="I52" s="6" t="s">
        <v>1525</v>
      </c>
      <c r="J52" s="20" t="s">
        <v>1526</v>
      </c>
      <c r="K52" s="20" t="s">
        <v>269</v>
      </c>
      <c r="L52" s="22" t="s">
        <v>1527</v>
      </c>
      <c r="M52" s="6" t="s">
        <v>1528</v>
      </c>
    </row>
    <row r="53" ht="45" customHeight="1" spans="1:13" x14ac:dyDescent="0.25">
      <c r="A53" s="6" t="s">
        <v>1521</v>
      </c>
      <c r="B53" s="6" t="s">
        <v>1536</v>
      </c>
      <c r="C53" s="20" t="s">
        <v>927</v>
      </c>
      <c r="D53" s="27">
        <v>90</v>
      </c>
      <c r="E53" s="20" t="s">
        <v>668</v>
      </c>
      <c r="F53" s="6"/>
      <c r="G53" s="6" t="s">
        <v>1529</v>
      </c>
      <c r="H53" s="6" t="s">
        <v>1524</v>
      </c>
      <c r="I53" s="6" t="s">
        <v>1525</v>
      </c>
      <c r="J53" s="20" t="s">
        <v>1526</v>
      </c>
      <c r="K53" s="20" t="s">
        <v>269</v>
      </c>
      <c r="L53" s="22" t="s">
        <v>1527</v>
      </c>
      <c r="M53" s="6" t="s">
        <v>1528</v>
      </c>
    </row>
    <row r="54" ht="45" customHeight="1" spans="1:13" x14ac:dyDescent="0.25">
      <c r="A54" s="6" t="s">
        <v>1521</v>
      </c>
      <c r="B54" s="6" t="s">
        <v>1536</v>
      </c>
      <c r="C54" s="20" t="s">
        <v>674</v>
      </c>
      <c r="D54" s="27">
        <v>142</v>
      </c>
      <c r="E54" s="20" t="s">
        <v>668</v>
      </c>
      <c r="F54" s="6"/>
      <c r="G54" s="6" t="s">
        <v>1530</v>
      </c>
      <c r="H54" s="6" t="s">
        <v>1524</v>
      </c>
      <c r="I54" s="6" t="s">
        <v>1525</v>
      </c>
      <c r="J54" s="20" t="s">
        <v>1526</v>
      </c>
      <c r="K54" s="20" t="s">
        <v>297</v>
      </c>
      <c r="L54" s="22" t="s">
        <v>1527</v>
      </c>
      <c r="M54" s="6" t="s">
        <v>1531</v>
      </c>
    </row>
    <row r="55" ht="45" customHeight="1" spans="1:13" x14ac:dyDescent="0.25">
      <c r="A55" s="6" t="s">
        <v>1521</v>
      </c>
      <c r="B55" s="6" t="s">
        <v>1536</v>
      </c>
      <c r="C55" s="20" t="s">
        <v>674</v>
      </c>
      <c r="D55" s="27">
        <v>225</v>
      </c>
      <c r="E55" s="20" t="s">
        <v>668</v>
      </c>
      <c r="F55" s="6"/>
      <c r="G55" s="6" t="s">
        <v>1532</v>
      </c>
      <c r="H55" s="6" t="s">
        <v>1524</v>
      </c>
      <c r="I55" s="6" t="s">
        <v>1525</v>
      </c>
      <c r="J55" s="20" t="s">
        <v>1526</v>
      </c>
      <c r="K55" s="20" t="s">
        <v>297</v>
      </c>
      <c r="L55" s="22" t="s">
        <v>1527</v>
      </c>
      <c r="M55" s="6" t="s">
        <v>1531</v>
      </c>
    </row>
    <row r="56" ht="45" customHeight="1" spans="1:13" x14ac:dyDescent="0.25">
      <c r="A56" s="6" t="s">
        <v>1521</v>
      </c>
      <c r="B56" s="6" t="s">
        <v>1536</v>
      </c>
      <c r="C56" s="20" t="s">
        <v>735</v>
      </c>
      <c r="D56" s="27">
        <v>752</v>
      </c>
      <c r="E56" s="20" t="s">
        <v>668</v>
      </c>
      <c r="F56" s="6"/>
      <c r="G56" s="6" t="s">
        <v>1533</v>
      </c>
      <c r="H56" s="6" t="s">
        <v>1524</v>
      </c>
      <c r="I56" s="6" t="s">
        <v>1525</v>
      </c>
      <c r="J56" s="20" t="s">
        <v>1526</v>
      </c>
      <c r="K56" s="20" t="s">
        <v>269</v>
      </c>
      <c r="L56" s="22" t="s">
        <v>1527</v>
      </c>
      <c r="M56" s="6" t="s">
        <v>1528</v>
      </c>
    </row>
    <row r="57" ht="45" customHeight="1" spans="1:13" x14ac:dyDescent="0.25">
      <c r="A57" s="6" t="s">
        <v>1537</v>
      </c>
      <c r="B57" s="6" t="s">
        <v>1538</v>
      </c>
      <c r="C57" s="20" t="s">
        <v>706</v>
      </c>
      <c r="D57" s="27"/>
      <c r="E57" s="20" t="s">
        <v>668</v>
      </c>
      <c r="F57" s="6"/>
      <c r="G57" s="6" t="s">
        <v>1539</v>
      </c>
      <c r="H57" s="6"/>
      <c r="I57" s="6" t="s">
        <v>1540</v>
      </c>
      <c r="J57" s="20" t="s">
        <v>1541</v>
      </c>
      <c r="K57" s="20" t="s">
        <v>269</v>
      </c>
      <c r="L57" s="22" t="s">
        <v>1542</v>
      </c>
      <c r="M57" s="6" t="s">
        <v>1543</v>
      </c>
    </row>
    <row r="58" ht="45" customHeight="1" spans="1:13" x14ac:dyDescent="0.25">
      <c r="A58" s="6" t="s">
        <v>1544</v>
      </c>
      <c r="B58" s="6" t="s">
        <v>1538</v>
      </c>
      <c r="C58" s="20" t="s">
        <v>706</v>
      </c>
      <c r="D58" s="27"/>
      <c r="E58" s="20" t="s">
        <v>668</v>
      </c>
      <c r="F58" s="6"/>
      <c r="G58" s="6" t="s">
        <v>1545</v>
      </c>
      <c r="H58" s="6"/>
      <c r="I58" s="6" t="s">
        <v>1546</v>
      </c>
      <c r="J58" s="20" t="s">
        <v>1541</v>
      </c>
      <c r="K58" s="20" t="s">
        <v>269</v>
      </c>
      <c r="L58" s="22" t="s">
        <v>1542</v>
      </c>
      <c r="M58" s="6" t="s">
        <v>1547</v>
      </c>
    </row>
    <row r="59" ht="45" customHeight="1" spans="1:13" x14ac:dyDescent="0.25">
      <c r="A59" s="6" t="s">
        <v>1548</v>
      </c>
      <c r="B59" s="6" t="s">
        <v>1538</v>
      </c>
      <c r="C59" s="20" t="s">
        <v>706</v>
      </c>
      <c r="D59" s="27"/>
      <c r="E59" s="20" t="s">
        <v>668</v>
      </c>
      <c r="F59" s="6"/>
      <c r="G59" s="6" t="s">
        <v>1549</v>
      </c>
      <c r="H59" s="6"/>
      <c r="I59" s="6" t="s">
        <v>1550</v>
      </c>
      <c r="J59" s="20" t="s">
        <v>1551</v>
      </c>
      <c r="K59" s="20" t="s">
        <v>269</v>
      </c>
      <c r="L59" s="22" t="s">
        <v>1552</v>
      </c>
      <c r="M59" s="6" t="s">
        <v>1553</v>
      </c>
    </row>
    <row r="60" ht="45" customHeight="1" spans="1:13" x14ac:dyDescent="0.25">
      <c r="A60" s="6" t="s">
        <v>1554</v>
      </c>
      <c r="B60" s="6" t="s">
        <v>1555</v>
      </c>
      <c r="C60" s="20" t="s">
        <v>463</v>
      </c>
      <c r="D60" s="27"/>
      <c r="E60" s="20"/>
      <c r="F60" s="6"/>
      <c r="G60" s="6"/>
      <c r="H60" s="6"/>
      <c r="I60" s="6"/>
      <c r="J60" s="20" t="s">
        <v>1556</v>
      </c>
      <c r="K60" s="20" t="s">
        <v>297</v>
      </c>
      <c r="L60" s="22" t="s">
        <v>1557</v>
      </c>
      <c r="M60" s="6" t="s">
        <v>1558</v>
      </c>
    </row>
    <row r="61" ht="45" customHeight="1" spans="1:13" x14ac:dyDescent="0.25">
      <c r="A61" s="6" t="s">
        <v>1559</v>
      </c>
      <c r="B61" s="6" t="s">
        <v>1560</v>
      </c>
      <c r="C61" s="20" t="s">
        <v>842</v>
      </c>
      <c r="D61" s="27">
        <v>6</v>
      </c>
      <c r="E61" s="20" t="s">
        <v>1450</v>
      </c>
      <c r="F61" s="6"/>
      <c r="G61" s="6" t="s">
        <v>1561</v>
      </c>
      <c r="H61" s="6" t="s">
        <v>1562</v>
      </c>
      <c r="I61" s="6"/>
      <c r="J61" s="20" t="s">
        <v>1563</v>
      </c>
      <c r="K61" s="20" t="s">
        <v>236</v>
      </c>
      <c r="L61" s="22" t="s">
        <v>1564</v>
      </c>
      <c r="M61" s="6" t="s">
        <v>1565</v>
      </c>
    </row>
    <row r="62" ht="45" customHeight="1" spans="1:13" x14ac:dyDescent="0.25">
      <c r="A62" s="6" t="s">
        <v>1559</v>
      </c>
      <c r="B62" s="6" t="s">
        <v>1566</v>
      </c>
      <c r="C62" s="20" t="s">
        <v>842</v>
      </c>
      <c r="D62" s="27">
        <v>12</v>
      </c>
      <c r="E62" s="20" t="s">
        <v>1450</v>
      </c>
      <c r="F62" s="6"/>
      <c r="G62" s="6" t="s">
        <v>1567</v>
      </c>
      <c r="H62" s="6" t="s">
        <v>1562</v>
      </c>
      <c r="I62" s="6"/>
      <c r="J62" s="20" t="s">
        <v>1563</v>
      </c>
      <c r="K62" s="20" t="s">
        <v>236</v>
      </c>
      <c r="L62" s="22" t="s">
        <v>1564</v>
      </c>
      <c r="M62" s="6" t="s">
        <v>1565</v>
      </c>
    </row>
    <row r="63" ht="45" customHeight="1" spans="1:13" x14ac:dyDescent="0.25">
      <c r="A63" s="6" t="s">
        <v>1559</v>
      </c>
      <c r="B63" s="6" t="s">
        <v>1568</v>
      </c>
      <c r="C63" s="20" t="s">
        <v>842</v>
      </c>
      <c r="D63" s="27">
        <v>18</v>
      </c>
      <c r="E63" s="20" t="s">
        <v>1450</v>
      </c>
      <c r="F63" s="6"/>
      <c r="G63" s="6" t="s">
        <v>1569</v>
      </c>
      <c r="H63" s="6" t="s">
        <v>1562</v>
      </c>
      <c r="I63" s="6"/>
      <c r="J63" s="20" t="s">
        <v>1563</v>
      </c>
      <c r="K63" s="20" t="s">
        <v>236</v>
      </c>
      <c r="L63" s="22" t="s">
        <v>1564</v>
      </c>
      <c r="M63" s="6" t="s">
        <v>1565</v>
      </c>
    </row>
    <row r="64" ht="45" customHeight="1" spans="1:13" x14ac:dyDescent="0.25">
      <c r="A64" s="6" t="s">
        <v>1559</v>
      </c>
      <c r="B64" s="6" t="s">
        <v>1570</v>
      </c>
      <c r="C64" s="20" t="s">
        <v>842</v>
      </c>
      <c r="D64" s="27">
        <v>25</v>
      </c>
      <c r="E64" s="20" t="s">
        <v>1450</v>
      </c>
      <c r="F64" s="6"/>
      <c r="G64" s="6" t="s">
        <v>1571</v>
      </c>
      <c r="H64" s="6" t="s">
        <v>1562</v>
      </c>
      <c r="I64" s="6"/>
      <c r="J64" s="20" t="s">
        <v>1563</v>
      </c>
      <c r="K64" s="20" t="s">
        <v>236</v>
      </c>
      <c r="L64" s="22" t="s">
        <v>1564</v>
      </c>
      <c r="M64" s="6" t="s">
        <v>1565</v>
      </c>
    </row>
    <row r="65" ht="45" customHeight="1" spans="1:13" x14ac:dyDescent="0.25">
      <c r="A65" s="6" t="s">
        <v>1559</v>
      </c>
      <c r="B65" s="6" t="s">
        <v>1572</v>
      </c>
      <c r="C65" s="20" t="s">
        <v>842</v>
      </c>
      <c r="D65" s="27">
        <v>37</v>
      </c>
      <c r="E65" s="20" t="s">
        <v>1450</v>
      </c>
      <c r="F65" s="6"/>
      <c r="G65" s="6" t="s">
        <v>1573</v>
      </c>
      <c r="H65" s="6" t="s">
        <v>1562</v>
      </c>
      <c r="I65" s="6"/>
      <c r="J65" s="20" t="s">
        <v>1563</v>
      </c>
      <c r="K65" s="20" t="s">
        <v>236</v>
      </c>
      <c r="L65" s="22" t="s">
        <v>1564</v>
      </c>
      <c r="M65" s="6" t="s">
        <v>1565</v>
      </c>
    </row>
    <row r="66" ht="45" customHeight="1" spans="1:13" x14ac:dyDescent="0.25">
      <c r="A66" s="6" t="s">
        <v>1574</v>
      </c>
      <c r="B66" s="6" t="s">
        <v>1538</v>
      </c>
      <c r="C66" s="20" t="s">
        <v>706</v>
      </c>
      <c r="D66" s="27"/>
      <c r="E66" s="20" t="s">
        <v>668</v>
      </c>
      <c r="F66" s="6"/>
      <c r="G66" s="6" t="s">
        <v>1575</v>
      </c>
      <c r="H66" s="6"/>
      <c r="I66" s="6"/>
      <c r="J66" s="20" t="s">
        <v>1576</v>
      </c>
      <c r="K66" s="20" t="s">
        <v>269</v>
      </c>
      <c r="L66" s="22" t="s">
        <v>1577</v>
      </c>
      <c r="M66" s="6" t="s">
        <v>1578</v>
      </c>
    </row>
    <row r="67" ht="45" customHeight="1" spans="1:13" x14ac:dyDescent="0.25">
      <c r="A67" s="6" t="s">
        <v>1579</v>
      </c>
      <c r="B67" s="6" t="s">
        <v>1580</v>
      </c>
      <c r="C67" s="20" t="s">
        <v>842</v>
      </c>
      <c r="D67" s="27"/>
      <c r="E67" s="20" t="s">
        <v>1450</v>
      </c>
      <c r="F67" s="6"/>
      <c r="G67" s="6" t="s">
        <v>1581</v>
      </c>
      <c r="H67" s="6" t="s">
        <v>1582</v>
      </c>
      <c r="I67" s="6" t="s">
        <v>1583</v>
      </c>
      <c r="J67" s="20" t="s">
        <v>1584</v>
      </c>
      <c r="K67" s="20" t="s">
        <v>269</v>
      </c>
      <c r="L67" s="22" t="s">
        <v>1585</v>
      </c>
      <c r="M67" s="6" t="s">
        <v>1586</v>
      </c>
    </row>
    <row r="68" ht="45" customHeight="1" spans="1:13" x14ac:dyDescent="0.25">
      <c r="A68" s="6" t="s">
        <v>1587</v>
      </c>
      <c r="B68" s="6" t="s">
        <v>1588</v>
      </c>
      <c r="C68" s="20" t="s">
        <v>716</v>
      </c>
      <c r="D68" s="27"/>
      <c r="E68" s="20"/>
      <c r="F68" s="6" t="s">
        <v>1589</v>
      </c>
      <c r="G68" s="6" t="s">
        <v>1590</v>
      </c>
      <c r="H68" s="6" t="s">
        <v>1591</v>
      </c>
      <c r="I68" s="6" t="s">
        <v>1592</v>
      </c>
      <c r="J68" s="20" t="s">
        <v>1593</v>
      </c>
      <c r="K68" s="20" t="s">
        <v>269</v>
      </c>
      <c r="L68" s="22" t="s">
        <v>1594</v>
      </c>
      <c r="M68" s="6" t="s">
        <v>1595</v>
      </c>
    </row>
    <row r="69" ht="45" customHeight="1" spans="1:13" x14ac:dyDescent="0.25">
      <c r="A69" s="6" t="s">
        <v>1596</v>
      </c>
      <c r="B69" s="6" t="s">
        <v>1597</v>
      </c>
      <c r="C69" s="20" t="s">
        <v>716</v>
      </c>
      <c r="D69" s="27"/>
      <c r="E69" s="20"/>
      <c r="F69" s="6" t="s">
        <v>1598</v>
      </c>
      <c r="G69" s="6" t="s">
        <v>1599</v>
      </c>
      <c r="H69" s="6"/>
      <c r="I69" s="6" t="s">
        <v>1600</v>
      </c>
      <c r="J69" s="20" t="s">
        <v>1601</v>
      </c>
      <c r="K69" s="20" t="s">
        <v>269</v>
      </c>
      <c r="L69" s="22" t="s">
        <v>1602</v>
      </c>
      <c r="M69" s="6" t="s">
        <v>1603</v>
      </c>
    </row>
    <row r="70" ht="45" customHeight="1" spans="1:13" x14ac:dyDescent="0.25">
      <c r="A70" s="6" t="s">
        <v>1604</v>
      </c>
      <c r="B70" s="6" t="s">
        <v>1597</v>
      </c>
      <c r="C70" s="20" t="s">
        <v>716</v>
      </c>
      <c r="D70" s="27"/>
      <c r="E70" s="20"/>
      <c r="F70" s="6" t="s">
        <v>1605</v>
      </c>
      <c r="G70" s="6" t="s">
        <v>1599</v>
      </c>
      <c r="H70" s="6"/>
      <c r="I70" s="6" t="s">
        <v>1600</v>
      </c>
      <c r="J70" s="20" t="s">
        <v>1601</v>
      </c>
      <c r="K70" s="20" t="s">
        <v>269</v>
      </c>
      <c r="L70" s="22" t="s">
        <v>1602</v>
      </c>
      <c r="M70" s="6" t="s">
        <v>1603</v>
      </c>
    </row>
    <row r="71" ht="45" customHeight="1" spans="1:13" x14ac:dyDescent="0.25">
      <c r="A71" s="6" t="s">
        <v>1606</v>
      </c>
      <c r="B71" s="6" t="s">
        <v>1597</v>
      </c>
      <c r="C71" s="20" t="s">
        <v>716</v>
      </c>
      <c r="D71" s="27"/>
      <c r="E71" s="20"/>
      <c r="F71" s="6" t="s">
        <v>1598</v>
      </c>
      <c r="G71" s="6" t="s">
        <v>1599</v>
      </c>
      <c r="H71" s="6"/>
      <c r="I71" s="6" t="s">
        <v>1600</v>
      </c>
      <c r="J71" s="20" t="s">
        <v>1601</v>
      </c>
      <c r="K71" s="20" t="s">
        <v>269</v>
      </c>
      <c r="L71" s="22" t="s">
        <v>1602</v>
      </c>
      <c r="M71" s="6" t="s">
        <v>1603</v>
      </c>
    </row>
    <row r="72" ht="45" customHeight="1" spans="1:13" x14ac:dyDescent="0.25">
      <c r="A72" s="6" t="s">
        <v>1607</v>
      </c>
      <c r="B72" s="6" t="s">
        <v>1608</v>
      </c>
      <c r="C72" s="20" t="s">
        <v>716</v>
      </c>
      <c r="D72" s="27"/>
      <c r="E72" s="20"/>
      <c r="F72" s="6" t="s">
        <v>1609</v>
      </c>
      <c r="G72" s="6"/>
      <c r="H72" s="6"/>
      <c r="I72" s="6" t="s">
        <v>1610</v>
      </c>
      <c r="J72" s="20" t="s">
        <v>1611</v>
      </c>
      <c r="K72" s="20" t="s">
        <v>297</v>
      </c>
      <c r="L72" s="22" t="s">
        <v>1612</v>
      </c>
      <c r="M72" s="6" t="s">
        <v>1613</v>
      </c>
    </row>
    <row r="73" ht="45" customHeight="1" spans="1:13" x14ac:dyDescent="0.25">
      <c r="A73" s="6" t="s">
        <v>1614</v>
      </c>
      <c r="B73" s="6" t="s">
        <v>1501</v>
      </c>
      <c r="C73" s="20" t="s">
        <v>463</v>
      </c>
      <c r="D73" s="27"/>
      <c r="E73" s="20"/>
      <c r="F73" s="6"/>
      <c r="G73" s="6" t="s">
        <v>1615</v>
      </c>
      <c r="H73" s="6"/>
      <c r="I73" s="6" t="s">
        <v>1616</v>
      </c>
      <c r="J73" s="20" t="s">
        <v>1617</v>
      </c>
      <c r="K73" s="20" t="s">
        <v>297</v>
      </c>
      <c r="L73" s="22" t="s">
        <v>1618</v>
      </c>
      <c r="M73" s="6" t="s">
        <v>1619</v>
      </c>
    </row>
  </sheetData>
  <autoFilter ref="A1:M73"/>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 ref="L18" r:id="rId17"/>
    <hyperlink ref="L19" r:id="rId18"/>
    <hyperlink ref="L20" r:id="rId19"/>
    <hyperlink ref="L21" r:id="rId20"/>
    <hyperlink ref="L22" r:id="rId21"/>
    <hyperlink ref="L23" r:id="rId22"/>
    <hyperlink ref="L24" r:id="rId23"/>
    <hyperlink ref="L25" r:id="rId24"/>
    <hyperlink ref="L26" r:id="rId25"/>
    <hyperlink ref="L27" r:id="rId26"/>
    <hyperlink ref="L28" r:id="rId27"/>
    <hyperlink ref="L29" r:id="rId28"/>
    <hyperlink ref="L30" r:id="rId29"/>
    <hyperlink ref="L31" r:id="rId30"/>
    <hyperlink ref="L32" r:id="rId31"/>
    <hyperlink ref="L33" r:id="rId32"/>
    <hyperlink ref="L34" r:id="rId33"/>
    <hyperlink ref="L35" r:id="rId34"/>
    <hyperlink ref="L36" r:id="rId35"/>
    <hyperlink ref="L37" r:id="rId36"/>
    <hyperlink ref="L38" r:id="rId37"/>
    <hyperlink ref="L39" r:id="rId38"/>
    <hyperlink ref="L40" r:id="rId39"/>
    <hyperlink ref="L41" r:id="rId40"/>
    <hyperlink ref="L42" r:id="rId41"/>
    <hyperlink ref="L43" r:id="rId42"/>
    <hyperlink ref="L44" r:id="rId43"/>
    <hyperlink ref="L45" r:id="rId44"/>
    <hyperlink ref="L46" r:id="rId45"/>
    <hyperlink ref="L47" r:id="rId46"/>
    <hyperlink ref="L48" r:id="rId47"/>
    <hyperlink ref="L49" r:id="rId48"/>
    <hyperlink ref="L50" r:id="rId49"/>
    <hyperlink ref="L51" r:id="rId50"/>
    <hyperlink ref="L52" r:id="rId51"/>
    <hyperlink ref="L53" r:id="rId52"/>
    <hyperlink ref="L54" r:id="rId53"/>
    <hyperlink ref="L55" r:id="rId54"/>
    <hyperlink ref="L56" r:id="rId55"/>
    <hyperlink ref="L57" r:id="rId56"/>
    <hyperlink ref="L58" r:id="rId57"/>
    <hyperlink ref="L59" r:id="rId58"/>
    <hyperlink ref="L60" r:id="rId59"/>
    <hyperlink ref="L61" r:id="rId60"/>
    <hyperlink ref="L62" r:id="rId61"/>
    <hyperlink ref="L63" r:id="rId62"/>
    <hyperlink ref="L64" r:id="rId63"/>
    <hyperlink ref="L65" r:id="rId64"/>
    <hyperlink ref="L66" r:id="rId65"/>
    <hyperlink ref="L67" r:id="rId66"/>
    <hyperlink ref="L68" r:id="rId67"/>
    <hyperlink ref="L69" r:id="rId68"/>
    <hyperlink ref="L70" r:id="rId69"/>
    <hyperlink ref="L71" r:id="rId70"/>
    <hyperlink ref="L72" r:id="rId71"/>
    <hyperlink ref="L73" r:id="rId72"/>
  </hyperlinks>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3"/>
  <sheetViews>
    <sheetView workbookViewId="0" zoomScale="100" zoomScaleNormal="100" view="normal">
      <pane xSplit="3" ySplit="1" topLeftCell="D2" activePane="bottomRight" state="frozen"/>
      <selection pane="bottomRight" activeCell="A1" sqref="A1"/>
    </sheetView>
  </sheetViews>
  <sheetFormatPr defaultRowHeight="15" outlineLevelRow="0" outlineLevelCol="0" x14ac:dyDescent="0" defaultColWidth="8.6796875"/>
  <cols>
    <col min="1" max="1" width="10" customWidth="1"/>
    <col min="2" max="2" width="14" customWidth="1"/>
    <col min="3" max="3" width="20" customWidth="1"/>
    <col min="4" max="4" width="26" customWidth="1"/>
    <col min="5" max="5" width="60" customWidth="1"/>
    <col min="6" max="7" width="40" customWidth="1"/>
    <col min="8" max="8" width="14" customWidth="1"/>
  </cols>
  <sheetData>
    <row r="1" ht="30" customHeight="1" spans="1:8" x14ac:dyDescent="0.25">
      <c r="A1" s="3" t="s">
        <v>1620</v>
      </c>
      <c r="B1" s="3" t="s">
        <v>225</v>
      </c>
      <c r="C1" s="3" t="s">
        <v>226</v>
      </c>
      <c r="D1" s="3" t="s">
        <v>2</v>
      </c>
      <c r="E1" s="3" t="s">
        <v>1621</v>
      </c>
      <c r="F1" s="3" t="s">
        <v>232</v>
      </c>
      <c r="G1" s="3" t="s">
        <v>1622</v>
      </c>
      <c r="H1" s="3" t="s">
        <v>1623</v>
      </c>
    </row>
    <row r="2" ht="57.45" customHeight="1" spans="1:8" x14ac:dyDescent="0.25">
      <c r="A2" s="20">
        <v>1</v>
      </c>
      <c r="B2" s="20" t="s">
        <v>235</v>
      </c>
      <c r="C2" s="20" t="s">
        <v>235</v>
      </c>
      <c r="D2" s="20" t="s">
        <v>6</v>
      </c>
      <c r="E2" s="6" t="s">
        <v>241</v>
      </c>
      <c r="F2" s="6" t="s">
        <v>240</v>
      </c>
      <c r="G2" s="28"/>
      <c r="H2" s="20"/>
    </row>
    <row r="3" ht="46.25" customHeight="1" spans="1:8" x14ac:dyDescent="0.25">
      <c r="A3" s="20">
        <v>1</v>
      </c>
      <c r="B3" s="20" t="s">
        <v>243</v>
      </c>
      <c r="C3" s="20" t="s">
        <v>249</v>
      </c>
      <c r="D3" s="20" t="s">
        <v>6</v>
      </c>
      <c r="E3" s="6" t="s">
        <v>254</v>
      </c>
      <c r="F3" s="6" t="s">
        <v>253</v>
      </c>
      <c r="G3" s="28"/>
      <c r="H3" s="20"/>
    </row>
    <row r="4" ht="35.05" customHeight="1" spans="1:8" x14ac:dyDescent="0.25">
      <c r="A4" s="20">
        <v>1</v>
      </c>
      <c r="B4" s="20" t="s">
        <v>243</v>
      </c>
      <c r="C4" s="20" t="s">
        <v>256</v>
      </c>
      <c r="D4" s="20" t="s">
        <v>18</v>
      </c>
      <c r="E4" s="6" t="s">
        <v>1624</v>
      </c>
      <c r="F4" s="6" t="s">
        <v>257</v>
      </c>
      <c r="G4" s="28"/>
      <c r="H4" s="20"/>
    </row>
    <row r="5" ht="46.25" customHeight="1" spans="1:8" x14ac:dyDescent="0.25">
      <c r="A5" s="20">
        <v>1</v>
      </c>
      <c r="B5" s="20" t="s">
        <v>243</v>
      </c>
      <c r="C5" s="20" t="s">
        <v>264</v>
      </c>
      <c r="D5" s="20" t="s">
        <v>18</v>
      </c>
      <c r="E5" s="6" t="s">
        <v>266</v>
      </c>
      <c r="F5" s="6" t="s">
        <v>265</v>
      </c>
      <c r="G5" s="28"/>
      <c r="H5" s="20"/>
    </row>
    <row r="6" ht="57.45" customHeight="1" spans="1:8" x14ac:dyDescent="0.25">
      <c r="A6" s="20">
        <v>1</v>
      </c>
      <c r="B6" s="20" t="s">
        <v>243</v>
      </c>
      <c r="C6" s="20" t="s">
        <v>276</v>
      </c>
      <c r="D6" s="20" t="s">
        <v>6</v>
      </c>
      <c r="E6" s="6" t="s">
        <v>281</v>
      </c>
      <c r="F6" s="6" t="s">
        <v>280</v>
      </c>
      <c r="G6" s="28"/>
      <c r="H6" s="20"/>
    </row>
    <row r="7" ht="23.85" customHeight="1" spans="1:8" x14ac:dyDescent="0.25">
      <c r="A7" s="20">
        <v>1</v>
      </c>
      <c r="B7" s="20" t="s">
        <v>243</v>
      </c>
      <c r="C7" s="20" t="s">
        <v>283</v>
      </c>
      <c r="D7" s="20" t="s">
        <v>14</v>
      </c>
      <c r="E7" s="6" t="s">
        <v>287</v>
      </c>
      <c r="F7" s="6" t="s">
        <v>286</v>
      </c>
      <c r="G7" s="28"/>
      <c r="H7" s="20"/>
    </row>
    <row r="8" ht="35.05" customHeight="1" spans="1:8" x14ac:dyDescent="0.25">
      <c r="A8" s="20">
        <v>1</v>
      </c>
      <c r="B8" s="20" t="s">
        <v>243</v>
      </c>
      <c r="C8" s="20" t="s">
        <v>296</v>
      </c>
      <c r="D8" s="20" t="s">
        <v>10</v>
      </c>
      <c r="E8" s="6" t="s">
        <v>302</v>
      </c>
      <c r="F8" s="6" t="s">
        <v>301</v>
      </c>
      <c r="G8" s="28"/>
      <c r="H8" s="20"/>
    </row>
    <row r="9" ht="57.45" customHeight="1" spans="1:8" x14ac:dyDescent="0.25">
      <c r="A9" s="20">
        <v>1</v>
      </c>
      <c r="B9" s="20" t="s">
        <v>243</v>
      </c>
      <c r="C9" s="20" t="s">
        <v>315</v>
      </c>
      <c r="D9" s="20" t="s">
        <v>8</v>
      </c>
      <c r="E9" s="6" t="s">
        <v>320</v>
      </c>
      <c r="F9" s="6" t="s">
        <v>319</v>
      </c>
      <c r="G9" s="28"/>
      <c r="H9" s="20"/>
    </row>
    <row r="10" ht="57.45" customHeight="1" spans="1:8" x14ac:dyDescent="0.25">
      <c r="A10" s="20">
        <v>1</v>
      </c>
      <c r="B10" s="20" t="s">
        <v>243</v>
      </c>
      <c r="C10" s="20" t="s">
        <v>326</v>
      </c>
      <c r="D10" s="20" t="s">
        <v>18</v>
      </c>
      <c r="E10" s="6" t="s">
        <v>1624</v>
      </c>
      <c r="F10" s="6" t="s">
        <v>327</v>
      </c>
      <c r="G10" s="28"/>
      <c r="H10" s="20"/>
    </row>
    <row r="11" ht="46.25" customHeight="1" spans="1:8" x14ac:dyDescent="0.25">
      <c r="A11" s="20">
        <v>1</v>
      </c>
      <c r="B11" s="20" t="s">
        <v>243</v>
      </c>
      <c r="C11" s="20" t="s">
        <v>329</v>
      </c>
      <c r="D11" s="20" t="s">
        <v>18</v>
      </c>
      <c r="E11" s="6" t="s">
        <v>1624</v>
      </c>
      <c r="F11" s="6" t="s">
        <v>331</v>
      </c>
      <c r="G11" s="28"/>
      <c r="H11" s="20"/>
    </row>
    <row r="12" ht="46.25" customHeight="1" spans="1:8" x14ac:dyDescent="0.25">
      <c r="A12" s="20">
        <v>1</v>
      </c>
      <c r="B12" s="20" t="s">
        <v>243</v>
      </c>
      <c r="C12" s="20" t="s">
        <v>333</v>
      </c>
      <c r="D12" s="20" t="s">
        <v>18</v>
      </c>
      <c r="E12" s="6" t="s">
        <v>336</v>
      </c>
      <c r="F12" s="6" t="s">
        <v>335</v>
      </c>
      <c r="G12" s="28"/>
      <c r="H12" s="20"/>
    </row>
    <row r="13" ht="35.05" customHeight="1" spans="1:8" x14ac:dyDescent="0.25">
      <c r="A13" s="20">
        <v>1</v>
      </c>
      <c r="B13" s="20" t="s">
        <v>243</v>
      </c>
      <c r="C13" s="20" t="s">
        <v>341</v>
      </c>
      <c r="D13" s="20" t="s">
        <v>18</v>
      </c>
      <c r="E13" s="6" t="s">
        <v>1624</v>
      </c>
      <c r="F13" s="6" t="s">
        <v>342</v>
      </c>
      <c r="G13" s="28"/>
      <c r="H13" s="20"/>
    </row>
    <row r="14" ht="46.25" customHeight="1" spans="1:8" x14ac:dyDescent="0.25">
      <c r="A14" s="20">
        <v>1</v>
      </c>
      <c r="B14" s="20" t="s">
        <v>243</v>
      </c>
      <c r="C14" s="20" t="s">
        <v>349</v>
      </c>
      <c r="D14" s="20" t="s">
        <v>14</v>
      </c>
      <c r="E14" s="6" t="s">
        <v>353</v>
      </c>
      <c r="F14" s="6" t="s">
        <v>352</v>
      </c>
      <c r="G14" s="28"/>
      <c r="H14" s="20"/>
    </row>
    <row r="15" ht="15" customHeight="1" spans="1:8" x14ac:dyDescent="0.25">
      <c r="A15" s="20">
        <v>1</v>
      </c>
      <c r="B15" s="20" t="s">
        <v>243</v>
      </c>
      <c r="C15" s="20" t="s">
        <v>356</v>
      </c>
      <c r="D15" s="20" t="s">
        <v>18</v>
      </c>
      <c r="E15" s="6" t="s">
        <v>357</v>
      </c>
      <c r="F15" s="6"/>
      <c r="G15" s="28"/>
      <c r="H15" s="20"/>
    </row>
    <row r="16" ht="57.45" customHeight="1" spans="1:8" x14ac:dyDescent="0.25">
      <c r="A16" s="20">
        <v>1</v>
      </c>
      <c r="B16" s="20" t="s">
        <v>243</v>
      </c>
      <c r="C16" s="20" t="s">
        <v>359</v>
      </c>
      <c r="D16" s="20" t="s">
        <v>14</v>
      </c>
      <c r="E16" s="6" t="s">
        <v>362</v>
      </c>
      <c r="F16" s="6" t="s">
        <v>361</v>
      </c>
      <c r="G16" s="28"/>
      <c r="H16" s="20"/>
    </row>
    <row r="17" ht="35.05" customHeight="1" spans="1:8" x14ac:dyDescent="0.25">
      <c r="A17" s="20">
        <v>1</v>
      </c>
      <c r="B17" s="20" t="s">
        <v>243</v>
      </c>
      <c r="C17" s="20" t="s">
        <v>365</v>
      </c>
      <c r="D17" s="20" t="s">
        <v>18</v>
      </c>
      <c r="E17" s="6" t="s">
        <v>367</v>
      </c>
      <c r="F17" s="6" t="s">
        <v>366</v>
      </c>
      <c r="G17" s="28"/>
      <c r="H17" s="20"/>
    </row>
    <row r="18" ht="46.25" customHeight="1" spans="1:8" x14ac:dyDescent="0.25">
      <c r="A18" s="20">
        <v>1</v>
      </c>
      <c r="B18" s="20" t="s">
        <v>243</v>
      </c>
      <c r="C18" s="20" t="s">
        <v>369</v>
      </c>
      <c r="D18" s="20" t="s">
        <v>18</v>
      </c>
      <c r="E18" s="6" t="s">
        <v>371</v>
      </c>
      <c r="F18" s="6" t="s">
        <v>370</v>
      </c>
      <c r="G18" s="28"/>
      <c r="H18" s="20"/>
    </row>
    <row r="19" ht="23.85" customHeight="1" spans="1:8" x14ac:dyDescent="0.25">
      <c r="A19" s="20">
        <v>1</v>
      </c>
      <c r="B19" s="20" t="s">
        <v>243</v>
      </c>
      <c r="C19" s="20" t="s">
        <v>375</v>
      </c>
      <c r="D19" s="20" t="s">
        <v>18</v>
      </c>
      <c r="E19" s="6" t="s">
        <v>377</v>
      </c>
      <c r="F19" s="6" t="s">
        <v>376</v>
      </c>
      <c r="G19" s="28"/>
      <c r="H19" s="20"/>
    </row>
    <row r="20" ht="35.05" customHeight="1" spans="1:8" x14ac:dyDescent="0.25">
      <c r="A20" s="20">
        <v>1</v>
      </c>
      <c r="B20" s="20" t="s">
        <v>243</v>
      </c>
      <c r="C20" s="20" t="s">
        <v>379</v>
      </c>
      <c r="D20" s="20" t="s">
        <v>18</v>
      </c>
      <c r="E20" s="6" t="s">
        <v>381</v>
      </c>
      <c r="F20" s="6" t="s">
        <v>380</v>
      </c>
      <c r="G20" s="28"/>
      <c r="H20" s="20"/>
    </row>
    <row r="21" ht="68.65" customHeight="1" spans="1:8" x14ac:dyDescent="0.25">
      <c r="A21" s="20">
        <v>1</v>
      </c>
      <c r="B21" s="20" t="s">
        <v>243</v>
      </c>
      <c r="C21" s="20" t="s">
        <v>387</v>
      </c>
      <c r="D21" s="20" t="s">
        <v>8</v>
      </c>
      <c r="E21" s="6" t="s">
        <v>392</v>
      </c>
      <c r="F21" s="6" t="s">
        <v>391</v>
      </c>
      <c r="G21" s="28"/>
      <c r="H21" s="20"/>
    </row>
    <row r="22" ht="15" customHeight="1" spans="1:8" x14ac:dyDescent="0.25">
      <c r="A22" s="20">
        <v>1</v>
      </c>
      <c r="B22" s="20" t="s">
        <v>243</v>
      </c>
      <c r="C22" s="20" t="s">
        <v>394</v>
      </c>
      <c r="D22" s="20" t="s">
        <v>18</v>
      </c>
      <c r="E22" s="6" t="s">
        <v>395</v>
      </c>
      <c r="F22" s="6"/>
      <c r="G22" s="28"/>
      <c r="H22" s="20"/>
    </row>
    <row r="23" ht="68.65" customHeight="1" spans="1:8" x14ac:dyDescent="0.25">
      <c r="A23" s="20">
        <v>2</v>
      </c>
      <c r="B23" s="20" t="s">
        <v>243</v>
      </c>
      <c r="C23" s="20" t="s">
        <v>244</v>
      </c>
      <c r="D23" s="20" t="s">
        <v>18</v>
      </c>
      <c r="E23" s="6" t="s">
        <v>1624</v>
      </c>
      <c r="F23" s="6" t="s">
        <v>246</v>
      </c>
      <c r="G23" s="28"/>
      <c r="H23" s="20"/>
    </row>
    <row r="24" ht="35.05" customHeight="1" spans="1:8" x14ac:dyDescent="0.25">
      <c r="A24" s="20">
        <v>2</v>
      </c>
      <c r="B24" s="20" t="s">
        <v>243</v>
      </c>
      <c r="C24" s="20" t="s">
        <v>259</v>
      </c>
      <c r="D24" s="20" t="s">
        <v>18</v>
      </c>
      <c r="E24" s="6" t="s">
        <v>262</v>
      </c>
      <c r="F24" s="6" t="s">
        <v>261</v>
      </c>
      <c r="G24" s="28"/>
      <c r="H24" s="20"/>
    </row>
    <row r="25" ht="57.45" customHeight="1" spans="1:8" x14ac:dyDescent="0.25">
      <c r="A25" s="20">
        <v>2</v>
      </c>
      <c r="B25" s="20" t="s">
        <v>243</v>
      </c>
      <c r="C25" s="20" t="s">
        <v>268</v>
      </c>
      <c r="D25" s="20" t="s">
        <v>8</v>
      </c>
      <c r="E25" s="6" t="s">
        <v>274</v>
      </c>
      <c r="F25" s="6" t="s">
        <v>273</v>
      </c>
      <c r="G25" s="28"/>
      <c r="H25" s="20"/>
    </row>
    <row r="26" ht="46.25" customHeight="1" spans="1:8" x14ac:dyDescent="0.25">
      <c r="A26" s="20">
        <v>2</v>
      </c>
      <c r="B26" s="20" t="s">
        <v>243</v>
      </c>
      <c r="C26" s="20" t="s">
        <v>304</v>
      </c>
      <c r="D26" s="20" t="s">
        <v>18</v>
      </c>
      <c r="E26" s="6" t="s">
        <v>1624</v>
      </c>
      <c r="F26" s="6" t="s">
        <v>305</v>
      </c>
      <c r="G26" s="28"/>
      <c r="H26" s="20"/>
    </row>
    <row r="27" ht="46.25" customHeight="1" spans="1:8" x14ac:dyDescent="0.25">
      <c r="A27" s="20">
        <v>2</v>
      </c>
      <c r="B27" s="20" t="s">
        <v>243</v>
      </c>
      <c r="C27" s="20" t="s">
        <v>307</v>
      </c>
      <c r="D27" s="20" t="s">
        <v>18</v>
      </c>
      <c r="E27" s="6" t="s">
        <v>1624</v>
      </c>
      <c r="F27" s="6" t="s">
        <v>308</v>
      </c>
      <c r="G27" s="28"/>
      <c r="H27" s="20"/>
    </row>
    <row r="28" ht="46.25" customHeight="1" spans="1:8" x14ac:dyDescent="0.25">
      <c r="A28" s="20">
        <v>2</v>
      </c>
      <c r="B28" s="20" t="s">
        <v>243</v>
      </c>
      <c r="C28" s="20" t="s">
        <v>310</v>
      </c>
      <c r="D28" s="20" t="s">
        <v>18</v>
      </c>
      <c r="E28" s="6" t="s">
        <v>1624</v>
      </c>
      <c r="F28" s="6" t="s">
        <v>311</v>
      </c>
      <c r="G28" s="28"/>
      <c r="H28" s="20"/>
    </row>
    <row r="29" ht="23.85" customHeight="1" spans="1:8" x14ac:dyDescent="0.25">
      <c r="A29" s="20">
        <v>2</v>
      </c>
      <c r="B29" s="20" t="s">
        <v>243</v>
      </c>
      <c r="C29" s="20" t="s">
        <v>313</v>
      </c>
      <c r="D29" s="20" t="s">
        <v>18</v>
      </c>
      <c r="E29" s="6" t="s">
        <v>1624</v>
      </c>
      <c r="F29" s="6" t="s">
        <v>314</v>
      </c>
      <c r="G29" s="28"/>
      <c r="H29" s="20"/>
    </row>
    <row r="30" ht="46.25" customHeight="1" spans="1:8" x14ac:dyDescent="0.25">
      <c r="A30" s="20">
        <v>2</v>
      </c>
      <c r="B30" s="20" t="s">
        <v>243</v>
      </c>
      <c r="C30" s="20" t="s">
        <v>322</v>
      </c>
      <c r="D30" s="20" t="s">
        <v>18</v>
      </c>
      <c r="E30" s="6" t="s">
        <v>1624</v>
      </c>
      <c r="F30" s="6" t="s">
        <v>323</v>
      </c>
      <c r="G30" s="28"/>
      <c r="H30" s="20"/>
    </row>
    <row r="31" ht="23.85" customHeight="1" spans="1:8" x14ac:dyDescent="0.25">
      <c r="A31" s="20">
        <v>2</v>
      </c>
      <c r="B31" s="20" t="s">
        <v>243</v>
      </c>
      <c r="C31" s="20" t="s">
        <v>325</v>
      </c>
      <c r="D31" s="20" t="s">
        <v>18</v>
      </c>
      <c r="E31" s="6" t="s">
        <v>1624</v>
      </c>
      <c r="F31" s="6"/>
      <c r="G31" s="28"/>
      <c r="H31" s="20"/>
    </row>
    <row r="32" ht="46.25" customHeight="1" spans="1:8" x14ac:dyDescent="0.25">
      <c r="A32" s="20">
        <v>2</v>
      </c>
      <c r="B32" s="20" t="s">
        <v>243</v>
      </c>
      <c r="C32" s="20" t="s">
        <v>338</v>
      </c>
      <c r="D32" s="20" t="s">
        <v>18</v>
      </c>
      <c r="E32" s="6" t="s">
        <v>1624</v>
      </c>
      <c r="F32" s="6" t="s">
        <v>339</v>
      </c>
      <c r="G32" s="28"/>
      <c r="H32" s="20"/>
    </row>
    <row r="33" ht="35.05" customHeight="1" spans="1:8" x14ac:dyDescent="0.25">
      <c r="A33" s="20">
        <v>2</v>
      </c>
      <c r="B33" s="20" t="s">
        <v>243</v>
      </c>
      <c r="C33" s="20" t="s">
        <v>344</v>
      </c>
      <c r="D33" s="20" t="s">
        <v>18</v>
      </c>
      <c r="E33" s="6" t="s">
        <v>1624</v>
      </c>
      <c r="F33" s="6" t="s">
        <v>345</v>
      </c>
      <c r="G33" s="28"/>
      <c r="H33" s="20"/>
    </row>
    <row r="34" ht="23.85" customHeight="1" spans="1:8" x14ac:dyDescent="0.25">
      <c r="A34" s="20">
        <v>2</v>
      </c>
      <c r="B34" s="20" t="s">
        <v>243</v>
      </c>
      <c r="C34" s="20" t="s">
        <v>347</v>
      </c>
      <c r="D34" s="20" t="s">
        <v>18</v>
      </c>
      <c r="E34" s="6" t="s">
        <v>1624</v>
      </c>
      <c r="F34" s="6"/>
      <c r="G34" s="28"/>
      <c r="H34" s="20"/>
    </row>
    <row r="35" ht="23.85" customHeight="1" spans="1:8" x14ac:dyDescent="0.25">
      <c r="A35" s="20">
        <v>2</v>
      </c>
      <c r="B35" s="20" t="s">
        <v>243</v>
      </c>
      <c r="C35" s="20" t="s">
        <v>348</v>
      </c>
      <c r="D35" s="20" t="s">
        <v>18</v>
      </c>
      <c r="E35" s="6" t="s">
        <v>1624</v>
      </c>
      <c r="F35" s="6"/>
      <c r="G35" s="28"/>
      <c r="H35" s="20"/>
    </row>
    <row r="36" ht="23.85" customHeight="1" spans="1:8" x14ac:dyDescent="0.25">
      <c r="A36" s="20">
        <v>2</v>
      </c>
      <c r="B36" s="20" t="s">
        <v>243</v>
      </c>
      <c r="C36" s="20" t="s">
        <v>355</v>
      </c>
      <c r="D36" s="20" t="s">
        <v>18</v>
      </c>
      <c r="E36" s="6" t="s">
        <v>1624</v>
      </c>
      <c r="F36" s="6"/>
      <c r="G36" s="28"/>
      <c r="H36" s="20"/>
    </row>
    <row r="37" ht="23.85" customHeight="1" spans="1:8" x14ac:dyDescent="0.25">
      <c r="A37" s="20">
        <v>2</v>
      </c>
      <c r="B37" s="20" t="s">
        <v>243</v>
      </c>
      <c r="C37" s="20" t="s">
        <v>364</v>
      </c>
      <c r="D37" s="20" t="s">
        <v>18</v>
      </c>
      <c r="E37" s="6" t="s">
        <v>1624</v>
      </c>
      <c r="F37" s="6"/>
      <c r="G37" s="28"/>
      <c r="H37" s="20"/>
    </row>
    <row r="38" ht="23.85" customHeight="1" spans="1:8" x14ac:dyDescent="0.25">
      <c r="A38" s="20">
        <v>2</v>
      </c>
      <c r="B38" s="20" t="s">
        <v>243</v>
      </c>
      <c r="C38" s="20" t="s">
        <v>373</v>
      </c>
      <c r="D38" s="20" t="s">
        <v>18</v>
      </c>
      <c r="E38" s="6" t="s">
        <v>1624</v>
      </c>
      <c r="F38" s="6"/>
      <c r="G38" s="28"/>
      <c r="H38" s="20"/>
    </row>
    <row r="39" ht="23.85" customHeight="1" spans="1:8" x14ac:dyDescent="0.25">
      <c r="A39" s="20">
        <v>2</v>
      </c>
      <c r="B39" s="20" t="s">
        <v>243</v>
      </c>
      <c r="C39" s="20" t="s">
        <v>374</v>
      </c>
      <c r="D39" s="20" t="s">
        <v>18</v>
      </c>
      <c r="E39" s="6" t="s">
        <v>1624</v>
      </c>
      <c r="F39" s="6"/>
      <c r="G39" s="28"/>
      <c r="H39" s="20"/>
    </row>
    <row r="40" ht="23.85" customHeight="1" spans="1:8" x14ac:dyDescent="0.25">
      <c r="A40" s="20">
        <v>2</v>
      </c>
      <c r="B40" s="20" t="s">
        <v>243</v>
      </c>
      <c r="C40" s="20" t="s">
        <v>378</v>
      </c>
      <c r="D40" s="20" t="s">
        <v>18</v>
      </c>
      <c r="E40" s="6" t="s">
        <v>1624</v>
      </c>
      <c r="F40" s="6"/>
      <c r="G40" s="28"/>
      <c r="H40" s="20"/>
    </row>
    <row r="41" ht="46.25" customHeight="1" spans="1:8" x14ac:dyDescent="0.25">
      <c r="A41" s="20">
        <v>2</v>
      </c>
      <c r="B41" s="20" t="s">
        <v>243</v>
      </c>
      <c r="C41" s="20" t="s">
        <v>383</v>
      </c>
      <c r="D41" s="20" t="s">
        <v>18</v>
      </c>
      <c r="E41" s="6" t="s">
        <v>1624</v>
      </c>
      <c r="F41" s="6" t="s">
        <v>385</v>
      </c>
      <c r="G41" s="28"/>
      <c r="H41" s="20"/>
    </row>
    <row r="42" ht="23.85" customHeight="1" spans="1:8" x14ac:dyDescent="0.25">
      <c r="A42" s="20">
        <v>2</v>
      </c>
      <c r="B42" s="20" t="s">
        <v>612</v>
      </c>
      <c r="C42" s="20" t="s">
        <v>613</v>
      </c>
      <c r="D42" s="20" t="s">
        <v>18</v>
      </c>
      <c r="E42" s="6" t="s">
        <v>1624</v>
      </c>
      <c r="F42" s="6" t="s">
        <v>614</v>
      </c>
      <c r="G42" s="28"/>
      <c r="H42" s="20"/>
    </row>
    <row r="43" ht="46.25" customHeight="1" spans="1:8" x14ac:dyDescent="0.25">
      <c r="A43" s="20">
        <v>2</v>
      </c>
      <c r="B43" s="20" t="s">
        <v>417</v>
      </c>
      <c r="C43" s="20" t="s">
        <v>417</v>
      </c>
      <c r="D43" s="20" t="s">
        <v>18</v>
      </c>
      <c r="E43" s="6" t="s">
        <v>420</v>
      </c>
      <c r="F43" s="6" t="s">
        <v>419</v>
      </c>
      <c r="G43" s="28"/>
      <c r="H43" s="20"/>
    </row>
    <row r="44" ht="35.05" customHeight="1" spans="1:8" x14ac:dyDescent="0.25">
      <c r="A44" s="20">
        <v>2</v>
      </c>
      <c r="B44" s="20" t="s">
        <v>476</v>
      </c>
      <c r="C44" s="20" t="s">
        <v>476</v>
      </c>
      <c r="D44" s="20" t="s">
        <v>14</v>
      </c>
      <c r="E44" s="6" t="s">
        <v>480</v>
      </c>
      <c r="F44" s="6" t="s">
        <v>479</v>
      </c>
      <c r="G44" s="28"/>
      <c r="H44" s="20"/>
    </row>
    <row r="45" ht="35.05" customHeight="1" spans="1:8" x14ac:dyDescent="0.25">
      <c r="A45" s="20">
        <v>2</v>
      </c>
      <c r="B45" s="20" t="s">
        <v>493</v>
      </c>
      <c r="C45" s="20" t="s">
        <v>494</v>
      </c>
      <c r="D45" s="20" t="s">
        <v>18</v>
      </c>
      <c r="E45" s="6" t="s">
        <v>497</v>
      </c>
      <c r="F45" s="6" t="s">
        <v>496</v>
      </c>
      <c r="G45" s="28"/>
      <c r="H45" s="20"/>
    </row>
    <row r="46" ht="57.45" customHeight="1" spans="1:8" x14ac:dyDescent="0.25">
      <c r="A46" s="20">
        <v>2</v>
      </c>
      <c r="B46" s="20" t="s">
        <v>490</v>
      </c>
      <c r="C46" s="20" t="s">
        <v>490</v>
      </c>
      <c r="D46" s="20" t="s">
        <v>18</v>
      </c>
      <c r="E46" s="6" t="s">
        <v>1624</v>
      </c>
      <c r="F46" s="6" t="s">
        <v>491</v>
      </c>
      <c r="G46" s="28"/>
      <c r="H46" s="20"/>
    </row>
    <row r="47" ht="35.05" customHeight="1" spans="1:8" x14ac:dyDescent="0.25">
      <c r="A47" s="20">
        <v>2</v>
      </c>
      <c r="B47" s="20" t="s">
        <v>506</v>
      </c>
      <c r="C47" s="20" t="s">
        <v>506</v>
      </c>
      <c r="D47" s="20" t="s">
        <v>16</v>
      </c>
      <c r="E47" s="6" t="s">
        <v>510</v>
      </c>
      <c r="F47" s="6" t="s">
        <v>509</v>
      </c>
      <c r="G47" s="28"/>
      <c r="H47" s="20"/>
    </row>
    <row r="48" ht="46.25" customHeight="1" spans="1:8" x14ac:dyDescent="0.25">
      <c r="A48" s="20">
        <v>2</v>
      </c>
      <c r="B48" s="20" t="s">
        <v>410</v>
      </c>
      <c r="C48" s="20" t="s">
        <v>411</v>
      </c>
      <c r="D48" s="20" t="s">
        <v>18</v>
      </c>
      <c r="E48" s="6" t="s">
        <v>415</v>
      </c>
      <c r="F48" s="6" t="s">
        <v>414</v>
      </c>
      <c r="G48" s="28"/>
      <c r="H48" s="20"/>
    </row>
    <row r="49" ht="46.25" customHeight="1" spans="1:8" x14ac:dyDescent="0.25">
      <c r="A49" s="20">
        <v>2</v>
      </c>
      <c r="B49" s="20" t="s">
        <v>582</v>
      </c>
      <c r="C49" s="20" t="s">
        <v>583</v>
      </c>
      <c r="D49" s="20" t="s">
        <v>14</v>
      </c>
      <c r="E49" s="6" t="s">
        <v>587</v>
      </c>
      <c r="F49" s="6" t="s">
        <v>586</v>
      </c>
      <c r="G49" s="28"/>
      <c r="H49" s="20"/>
    </row>
    <row r="50" ht="35.05" customHeight="1" spans="1:8" x14ac:dyDescent="0.25">
      <c r="A50" s="20">
        <v>2</v>
      </c>
      <c r="B50" s="20" t="s">
        <v>461</v>
      </c>
      <c r="C50" s="20" t="s">
        <v>462</v>
      </c>
      <c r="D50" s="20" t="s">
        <v>14</v>
      </c>
      <c r="E50" s="6" t="s">
        <v>466</v>
      </c>
      <c r="F50" s="6" t="s">
        <v>465</v>
      </c>
      <c r="G50" s="28"/>
      <c r="H50" s="20"/>
    </row>
    <row r="51" ht="15" customHeight="1" spans="1:8" x14ac:dyDescent="0.25">
      <c r="A51" s="20">
        <v>2</v>
      </c>
      <c r="B51" s="20" t="s">
        <v>595</v>
      </c>
      <c r="C51" s="20" t="s">
        <v>595</v>
      </c>
      <c r="D51" s="20" t="s">
        <v>18</v>
      </c>
      <c r="E51" s="6" t="s">
        <v>596</v>
      </c>
      <c r="F51" s="6"/>
      <c r="G51" s="28"/>
      <c r="H51" s="20"/>
    </row>
    <row r="52" ht="23.85" customHeight="1" spans="1:8" x14ac:dyDescent="0.25">
      <c r="A52" s="20">
        <v>2</v>
      </c>
      <c r="B52" s="20" t="s">
        <v>578</v>
      </c>
      <c r="C52" s="20" t="s">
        <v>579</v>
      </c>
      <c r="D52" s="20" t="s">
        <v>18</v>
      </c>
      <c r="E52" s="6" t="s">
        <v>1624</v>
      </c>
      <c r="F52" s="6" t="s">
        <v>580</v>
      </c>
      <c r="G52" s="28"/>
      <c r="H52" s="20"/>
    </row>
    <row r="53" ht="23.85" customHeight="1" spans="1:8" x14ac:dyDescent="0.25">
      <c r="A53" s="20">
        <v>2</v>
      </c>
      <c r="B53" s="20" t="s">
        <v>538</v>
      </c>
      <c r="C53" s="20" t="s">
        <v>539</v>
      </c>
      <c r="D53" s="20" t="s">
        <v>18</v>
      </c>
      <c r="E53" s="6" t="s">
        <v>1624</v>
      </c>
      <c r="F53" s="6" t="s">
        <v>540</v>
      </c>
      <c r="G53" s="28"/>
      <c r="H53" s="20"/>
    </row>
    <row r="54" ht="46.25" customHeight="1" spans="1:8" x14ac:dyDescent="0.25">
      <c r="A54" s="20">
        <v>2</v>
      </c>
      <c r="B54" s="20" t="s">
        <v>616</v>
      </c>
      <c r="C54" s="20" t="s">
        <v>617</v>
      </c>
      <c r="D54" s="20" t="s">
        <v>14</v>
      </c>
      <c r="E54" s="6" t="s">
        <v>621</v>
      </c>
      <c r="F54" s="6" t="s">
        <v>620</v>
      </c>
      <c r="G54" s="28"/>
      <c r="H54" s="20"/>
    </row>
    <row r="55" ht="23.85" customHeight="1" spans="1:8" x14ac:dyDescent="0.25">
      <c r="A55" s="20">
        <v>2</v>
      </c>
      <c r="B55" s="20" t="s">
        <v>519</v>
      </c>
      <c r="C55" s="20" t="s">
        <v>520</v>
      </c>
      <c r="D55" s="20" t="s">
        <v>18</v>
      </c>
      <c r="E55" s="6" t="s">
        <v>1624</v>
      </c>
      <c r="F55" s="6" t="s">
        <v>521</v>
      </c>
      <c r="G55" s="28"/>
      <c r="H55" s="20"/>
    </row>
    <row r="56" ht="35.05" customHeight="1" spans="1:8" x14ac:dyDescent="0.25">
      <c r="A56" s="20">
        <v>2</v>
      </c>
      <c r="B56" s="20" t="s">
        <v>629</v>
      </c>
      <c r="C56" s="20" t="s">
        <v>629</v>
      </c>
      <c r="D56" s="20" t="s">
        <v>14</v>
      </c>
      <c r="E56" s="6" t="s">
        <v>632</v>
      </c>
      <c r="F56" s="6" t="s">
        <v>631</v>
      </c>
      <c r="G56" s="28"/>
      <c r="H56" s="20"/>
    </row>
    <row r="57" ht="46.25" customHeight="1" spans="1:8" x14ac:dyDescent="0.25">
      <c r="A57" s="20">
        <v>3</v>
      </c>
      <c r="B57" s="20" t="s">
        <v>397</v>
      </c>
      <c r="C57" s="20" t="s">
        <v>398</v>
      </c>
      <c r="D57" s="20" t="s">
        <v>8</v>
      </c>
      <c r="E57" s="6" t="s">
        <v>1624</v>
      </c>
      <c r="F57" s="6" t="s">
        <v>402</v>
      </c>
      <c r="G57" s="28"/>
      <c r="H57" s="20"/>
    </row>
    <row r="58" ht="46.25" customHeight="1" spans="1:8" x14ac:dyDescent="0.25">
      <c r="A58" s="20">
        <v>3</v>
      </c>
      <c r="B58" s="20" t="s">
        <v>549</v>
      </c>
      <c r="C58" s="20" t="s">
        <v>550</v>
      </c>
      <c r="D58" s="20" t="s">
        <v>8</v>
      </c>
      <c r="E58" s="6" t="s">
        <v>1624</v>
      </c>
      <c r="F58" s="6" t="s">
        <v>554</v>
      </c>
      <c r="G58" s="28"/>
      <c r="H58" s="20"/>
    </row>
    <row r="59" ht="68.65" customHeight="1" spans="1:8" x14ac:dyDescent="0.25">
      <c r="A59" s="20">
        <v>3</v>
      </c>
      <c r="B59" s="20" t="s">
        <v>429</v>
      </c>
      <c r="C59" s="20" t="s">
        <v>430</v>
      </c>
      <c r="D59" s="20" t="s">
        <v>8</v>
      </c>
      <c r="E59" s="6" t="s">
        <v>1624</v>
      </c>
      <c r="F59" s="6" t="s">
        <v>434</v>
      </c>
      <c r="G59" s="28"/>
      <c r="H59" s="20"/>
    </row>
    <row r="60" ht="57.45" customHeight="1" spans="1:8" x14ac:dyDescent="0.25">
      <c r="A60" s="20">
        <v>3</v>
      </c>
      <c r="B60" s="20" t="s">
        <v>455</v>
      </c>
      <c r="C60" s="20" t="s">
        <v>455</v>
      </c>
      <c r="D60" s="20" t="s">
        <v>8</v>
      </c>
      <c r="E60" s="6" t="s">
        <v>1624</v>
      </c>
      <c r="F60" s="6" t="s">
        <v>459</v>
      </c>
      <c r="G60" s="28"/>
      <c r="H60" s="20"/>
    </row>
    <row r="61" ht="46.25" customHeight="1" spans="1:8" x14ac:dyDescent="0.25">
      <c r="A61" s="20">
        <v>3</v>
      </c>
      <c r="B61" s="20" t="s">
        <v>468</v>
      </c>
      <c r="C61" s="20" t="s">
        <v>469</v>
      </c>
      <c r="D61" s="20" t="s">
        <v>8</v>
      </c>
      <c r="E61" s="6" t="s">
        <v>474</v>
      </c>
      <c r="F61" s="6" t="s">
        <v>473</v>
      </c>
      <c r="G61" s="28"/>
      <c r="H61" s="20"/>
    </row>
    <row r="62" ht="57.45" customHeight="1" spans="1:8" x14ac:dyDescent="0.25">
      <c r="A62" s="20">
        <v>3</v>
      </c>
      <c r="B62" s="20" t="s">
        <v>531</v>
      </c>
      <c r="C62" s="20" t="s">
        <v>532</v>
      </c>
      <c r="D62" s="20" t="s">
        <v>8</v>
      </c>
      <c r="E62" s="6" t="s">
        <v>1624</v>
      </c>
      <c r="F62" s="6" t="s">
        <v>536</v>
      </c>
      <c r="G62" s="28"/>
      <c r="H62" s="20"/>
    </row>
    <row r="63" ht="57.45" customHeight="1" spans="1:8" x14ac:dyDescent="0.25">
      <c r="A63" s="20">
        <v>3</v>
      </c>
      <c r="B63" s="20" t="s">
        <v>556</v>
      </c>
      <c r="C63" s="20" t="s">
        <v>557</v>
      </c>
      <c r="D63" s="20" t="s">
        <v>8</v>
      </c>
      <c r="E63" s="6" t="s">
        <v>1624</v>
      </c>
      <c r="F63" s="6" t="s">
        <v>561</v>
      </c>
      <c r="G63" s="28"/>
      <c r="H63" s="20"/>
    </row>
    <row r="64" ht="79.85" customHeight="1" spans="1:8" x14ac:dyDescent="0.25">
      <c r="A64" s="20">
        <v>3</v>
      </c>
      <c r="B64" s="20" t="s">
        <v>512</v>
      </c>
      <c r="C64" s="20" t="s">
        <v>512</v>
      </c>
      <c r="D64" s="20" t="s">
        <v>8</v>
      </c>
      <c r="E64" s="6" t="s">
        <v>517</v>
      </c>
      <c r="F64" s="6" t="s">
        <v>516</v>
      </c>
      <c r="G64" s="28"/>
      <c r="H64" s="20"/>
    </row>
    <row r="65" ht="35.05" customHeight="1" spans="1:8" x14ac:dyDescent="0.25">
      <c r="A65" s="20">
        <v>3</v>
      </c>
      <c r="B65" s="20" t="s">
        <v>542</v>
      </c>
      <c r="C65" s="20" t="s">
        <v>542</v>
      </c>
      <c r="D65" s="20" t="s">
        <v>8</v>
      </c>
      <c r="E65" s="6" t="s">
        <v>547</v>
      </c>
      <c r="F65" s="6" t="s">
        <v>546</v>
      </c>
      <c r="G65" s="28"/>
      <c r="H65" s="20"/>
    </row>
    <row r="66" ht="57.45" customHeight="1" spans="1:8" x14ac:dyDescent="0.25">
      <c r="A66" s="20">
        <v>3</v>
      </c>
      <c r="B66" s="20" t="s">
        <v>571</v>
      </c>
      <c r="C66" s="20" t="s">
        <v>572</v>
      </c>
      <c r="D66" s="20" t="s">
        <v>8</v>
      </c>
      <c r="E66" s="6" t="s">
        <v>1624</v>
      </c>
      <c r="F66" s="6" t="s">
        <v>576</v>
      </c>
      <c r="G66" s="28"/>
      <c r="H66" s="20"/>
    </row>
    <row r="67" ht="91" customHeight="1" spans="1:8" x14ac:dyDescent="0.25">
      <c r="A67" s="20">
        <v>3</v>
      </c>
      <c r="B67" s="20" t="s">
        <v>642</v>
      </c>
      <c r="C67" s="20" t="s">
        <v>643</v>
      </c>
      <c r="D67" s="20" t="s">
        <v>8</v>
      </c>
      <c r="E67" s="6" t="s">
        <v>1624</v>
      </c>
      <c r="F67" s="6" t="s">
        <v>647</v>
      </c>
      <c r="G67" s="28"/>
      <c r="H67" s="20"/>
    </row>
    <row r="68" ht="35.05" customHeight="1" spans="1:8" x14ac:dyDescent="0.25">
      <c r="A68" s="20">
        <v>3</v>
      </c>
      <c r="B68" s="20" t="s">
        <v>597</v>
      </c>
      <c r="C68" s="20" t="s">
        <v>597</v>
      </c>
      <c r="D68" s="20" t="s">
        <v>8</v>
      </c>
      <c r="E68" s="6" t="s">
        <v>602</v>
      </c>
      <c r="F68" s="6" t="s">
        <v>601</v>
      </c>
      <c r="G68" s="28"/>
      <c r="H68" s="20"/>
    </row>
    <row r="69" ht="35.05" customHeight="1" spans="1:8" x14ac:dyDescent="0.25">
      <c r="A69" s="20">
        <v>3</v>
      </c>
      <c r="B69" s="20" t="s">
        <v>623</v>
      </c>
      <c r="C69" s="20" t="s">
        <v>623</v>
      </c>
      <c r="D69" s="20" t="s">
        <v>8</v>
      </c>
      <c r="E69" s="6" t="s">
        <v>1624</v>
      </c>
      <c r="F69" s="6" t="s">
        <v>627</v>
      </c>
      <c r="G69" s="28"/>
      <c r="H69" s="20"/>
    </row>
    <row r="70" ht="57.45" customHeight="1" spans="1:8" x14ac:dyDescent="0.25">
      <c r="A70" s="20">
        <v>3</v>
      </c>
      <c r="B70" s="20" t="s">
        <v>499</v>
      </c>
      <c r="C70" s="20" t="s">
        <v>500</v>
      </c>
      <c r="D70" s="20" t="s">
        <v>8</v>
      </c>
      <c r="E70" s="6" t="s">
        <v>1624</v>
      </c>
      <c r="F70" s="6" t="s">
        <v>504</v>
      </c>
      <c r="G70" s="28"/>
      <c r="H70" s="20"/>
    </row>
    <row r="71" ht="23.85" customHeight="1" spans="1:8" x14ac:dyDescent="0.25">
      <c r="A71" s="20">
        <v>3</v>
      </c>
      <c r="B71" s="20" t="s">
        <v>604</v>
      </c>
      <c r="C71" s="20" t="s">
        <v>605</v>
      </c>
      <c r="D71" s="20" t="s">
        <v>12</v>
      </c>
      <c r="E71" s="6" t="s">
        <v>610</v>
      </c>
      <c r="F71" s="6" t="s">
        <v>609</v>
      </c>
      <c r="G71" s="28"/>
      <c r="H71" s="20"/>
    </row>
    <row r="73" ht="15" customHeight="1" spans="1:1" x14ac:dyDescent="0.25">
      <c r="A73" s="29" t="s">
        <v>1625</v>
      </c>
    </row>
  </sheetData>
  <autoFilter ref="A1:H71"/>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zoomScale="100" zoomScaleNormal="100" view="normal">
      <selection activeCell="A1" sqref="A1"/>
    </sheetView>
  </sheetViews>
  <sheetFormatPr defaultRowHeight="15" outlineLevelRow="0" outlineLevelCol="0" x14ac:dyDescent="0" defaultColWidth="8.6796875"/>
  <cols>
    <col min="1" max="1" width="6" customWidth="1"/>
    <col min="2" max="2" width="110" customWidth="1"/>
  </cols>
  <sheetData>
    <row r="1" ht="17.35" customHeight="1" spans="1:1" x14ac:dyDescent="0.25">
      <c r="A1" s="1" t="s">
        <v>1626</v>
      </c>
    </row>
    <row r="3" ht="23.85" customHeight="1" spans="1:2" x14ac:dyDescent="0.25">
      <c r="A3" s="11">
        <v>1</v>
      </c>
      <c r="B3" s="12" t="s">
        <v>1627</v>
      </c>
    </row>
    <row r="4" ht="15" customHeight="1" spans="1:2" x14ac:dyDescent="0.25">
      <c r="A4" s="11">
        <v>2</v>
      </c>
      <c r="B4" s="12" t="s">
        <v>1628</v>
      </c>
    </row>
    <row r="5" ht="15" customHeight="1" spans="1:2" x14ac:dyDescent="0.25">
      <c r="A5" s="11">
        <v>3</v>
      </c>
      <c r="B5" s="12" t="s">
        <v>1629</v>
      </c>
    </row>
    <row r="6" ht="15" customHeight="1" spans="1:2" x14ac:dyDescent="0.25">
      <c r="A6" s="11">
        <v>4</v>
      </c>
      <c r="B6" s="12" t="s">
        <v>1630</v>
      </c>
    </row>
    <row r="7" ht="15" customHeight="1" spans="1:2" x14ac:dyDescent="0.25">
      <c r="A7" s="11">
        <v>5</v>
      </c>
      <c r="B7" s="12" t="s">
        <v>1631</v>
      </c>
    </row>
    <row r="8" ht="15" customHeight="1" spans="1:2" x14ac:dyDescent="0.25">
      <c r="A8" s="11">
        <v>6</v>
      </c>
      <c r="B8" s="12" t="s">
        <v>1632</v>
      </c>
    </row>
    <row r="9" ht="15" customHeight="1" spans="1:2" x14ac:dyDescent="0.25">
      <c r="A9" s="11">
        <v>7</v>
      </c>
      <c r="B9" s="12" t="s">
        <v>1633</v>
      </c>
    </row>
    <row r="10" ht="15" customHeight="1" spans="1:2" x14ac:dyDescent="0.25">
      <c r="A10" s="11">
        <v>8</v>
      </c>
      <c r="B10" s="12" t="s">
        <v>1634</v>
      </c>
    </row>
    <row r="11" ht="15" customHeight="1" spans="1:2" x14ac:dyDescent="0.25">
      <c r="A11" s="11">
        <v>9</v>
      </c>
      <c r="B11" s="12" t="s">
        <v>1635</v>
      </c>
    </row>
    <row r="13" ht="15" customHeight="1" spans="2:2" x14ac:dyDescent="0.25">
      <c r="B13" s="29" t="s">
        <v>1636</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8"/>
  <sheetViews>
    <sheetView workbookViewId="0">
      <pane ySplit="1" topLeftCell="A2" activePane="bottomLeft" state="frozen"/>
      <selection pane="bottomLeft"/>
    </sheetView>
  </sheetViews>
  <sheetFormatPr defaultRowHeight="18" outlineLevelRow="0" outlineLevelCol="0" x14ac:dyDescent="55" customHeight="1"/>
  <cols>
    <col min="1" max="1" width="28" customWidth="1"/>
    <col min="2" max="2" width="72" customWidth="1"/>
    <col min="3" max="3" width="36" customWidth="1"/>
  </cols>
  <sheetData>
    <row r="1" ht="22" customHeight="1" spans="1:3" x14ac:dyDescent="0.25">
      <c r="A1" s="13" t="s">
        <v>34</v>
      </c>
      <c r="B1" s="13" t="s">
        <v>35</v>
      </c>
      <c r="C1" s="13" t="s">
        <v>36</v>
      </c>
    </row>
    <row r="2" ht="20" customHeight="1" spans="1:3" x14ac:dyDescent="0.25">
      <c r="A2" s="14" t="s">
        <v>37</v>
      </c>
      <c r="B2" s="14"/>
      <c r="C2" s="14"/>
    </row>
    <row r="3" ht="48" customHeight="1" spans="1:3" x14ac:dyDescent="0.25">
      <c r="A3" s="15" t="s">
        <v>38</v>
      </c>
      <c r="B3" s="15" t="s">
        <v>39</v>
      </c>
      <c r="C3" s="15" t="s">
        <v>40</v>
      </c>
    </row>
    <row r="4" ht="48" customHeight="1" spans="1:3" x14ac:dyDescent="0.25">
      <c r="A4" s="16" t="s">
        <v>41</v>
      </c>
      <c r="B4" s="16" t="s">
        <v>42</v>
      </c>
      <c r="C4" s="16" t="s">
        <v>43</v>
      </c>
    </row>
    <row r="5" ht="48" customHeight="1" spans="1:3" x14ac:dyDescent="0.25">
      <c r="A5" s="17" t="s">
        <v>44</v>
      </c>
      <c r="B5" s="17" t="s">
        <v>45</v>
      </c>
      <c r="C5" s="17" t="s">
        <v>46</v>
      </c>
    </row>
    <row r="7" ht="20" customHeight="1" spans="1:3" x14ac:dyDescent="0.25">
      <c r="A7" s="14" t="s">
        <v>47</v>
      </c>
      <c r="B7" s="14"/>
      <c r="C7" s="14"/>
    </row>
    <row r="8" ht="48" customHeight="1" spans="1:3" x14ac:dyDescent="0.25">
      <c r="A8" s="18" t="s">
        <v>48</v>
      </c>
      <c r="B8" s="18" t="s">
        <v>49</v>
      </c>
      <c r="C8" s="18" t="s">
        <v>50</v>
      </c>
    </row>
    <row r="9" ht="48" customHeight="1" spans="1:3" x14ac:dyDescent="0.25">
      <c r="A9" s="17" t="s">
        <v>51</v>
      </c>
      <c r="B9" s="17" t="s">
        <v>52</v>
      </c>
      <c r="C9" s="17" t="s">
        <v>53</v>
      </c>
    </row>
    <row r="10" ht="48" customHeight="1" spans="1:3" x14ac:dyDescent="0.25">
      <c r="A10" s="19" t="s">
        <v>54</v>
      </c>
      <c r="B10" s="19" t="s">
        <v>55</v>
      </c>
      <c r="C10" s="19" t="s">
        <v>56</v>
      </c>
    </row>
    <row r="11" ht="48" customHeight="1" spans="1:3" x14ac:dyDescent="0.25">
      <c r="A11" s="19" t="s">
        <v>57</v>
      </c>
      <c r="B11" s="19" t="s">
        <v>58</v>
      </c>
      <c r="C11" s="19" t="s">
        <v>59</v>
      </c>
    </row>
    <row r="12" ht="48" customHeight="1" spans="1:3" x14ac:dyDescent="0.25">
      <c r="A12" s="18" t="s">
        <v>60</v>
      </c>
      <c r="B12" s="18" t="s">
        <v>61</v>
      </c>
      <c r="C12" s="18" t="s">
        <v>62</v>
      </c>
    </row>
    <row r="14" ht="20" customHeight="1" spans="1:3" x14ac:dyDescent="0.25">
      <c r="A14" s="14" t="s">
        <v>63</v>
      </c>
      <c r="B14" s="14"/>
      <c r="C14" s="14"/>
    </row>
    <row r="15" ht="48" customHeight="1" spans="1:3" x14ac:dyDescent="0.25">
      <c r="A15" s="16" t="s">
        <v>64</v>
      </c>
      <c r="B15" s="16" t="s">
        <v>65</v>
      </c>
      <c r="C15" s="16" t="s">
        <v>66</v>
      </c>
    </row>
    <row r="16" ht="48" customHeight="1" spans="1:3" x14ac:dyDescent="0.25">
      <c r="A16" s="17" t="s">
        <v>67</v>
      </c>
      <c r="B16" s="17" t="s">
        <v>68</v>
      </c>
      <c r="C16" s="17" t="s">
        <v>69</v>
      </c>
    </row>
    <row r="17" ht="48" customHeight="1" spans="1:3" x14ac:dyDescent="0.25">
      <c r="A17" s="19" t="s">
        <v>70</v>
      </c>
      <c r="B17" s="19" t="s">
        <v>71</v>
      </c>
      <c r="C17" s="19" t="s">
        <v>72</v>
      </c>
    </row>
    <row r="18" ht="48" customHeight="1" spans="1:3" x14ac:dyDescent="0.25">
      <c r="A18" s="16" t="s">
        <v>73</v>
      </c>
      <c r="B18" s="16" t="s">
        <v>74</v>
      </c>
      <c r="C18" s="16" t="s">
        <v>75</v>
      </c>
    </row>
    <row r="19" ht="48" customHeight="1" spans="1:3" x14ac:dyDescent="0.25">
      <c r="A19" s="16" t="s">
        <v>76</v>
      </c>
      <c r="B19" s="16" t="s">
        <v>77</v>
      </c>
      <c r="C19" s="16" t="s">
        <v>78</v>
      </c>
    </row>
    <row r="21" ht="20" customHeight="1" spans="1:3" x14ac:dyDescent="0.25">
      <c r="A21" s="14" t="s">
        <v>79</v>
      </c>
      <c r="B21" s="14"/>
      <c r="C21" s="14"/>
    </row>
    <row r="22" ht="48" customHeight="1" spans="1:3" x14ac:dyDescent="0.25">
      <c r="A22" s="18" t="s">
        <v>80</v>
      </c>
      <c r="B22" s="18" t="s">
        <v>81</v>
      </c>
      <c r="C22" s="18" t="s">
        <v>82</v>
      </c>
    </row>
    <row r="23" ht="48" customHeight="1" spans="1:3" x14ac:dyDescent="0.25">
      <c r="A23" s="17" t="s">
        <v>83</v>
      </c>
      <c r="B23" s="17" t="s">
        <v>84</v>
      </c>
      <c r="C23" s="17" t="s">
        <v>85</v>
      </c>
    </row>
    <row r="24" ht="48" customHeight="1" spans="1:3" x14ac:dyDescent="0.25">
      <c r="A24" s="16" t="s">
        <v>86</v>
      </c>
      <c r="B24" s="16" t="s">
        <v>87</v>
      </c>
      <c r="C24" s="16" t="s">
        <v>88</v>
      </c>
    </row>
    <row r="25" ht="48" customHeight="1" spans="1:3" x14ac:dyDescent="0.25">
      <c r="A25" s="19" t="s">
        <v>89</v>
      </c>
      <c r="B25" s="19" t="s">
        <v>90</v>
      </c>
      <c r="C25" s="19" t="s">
        <v>91</v>
      </c>
    </row>
    <row r="27" ht="20" customHeight="1" spans="1:3" x14ac:dyDescent="0.25">
      <c r="A27" s="14" t="s">
        <v>92</v>
      </c>
      <c r="B27" s="14"/>
      <c r="C27" s="14"/>
    </row>
    <row r="28" ht="48" customHeight="1" spans="1:3" x14ac:dyDescent="0.25">
      <c r="A28" s="16" t="s">
        <v>93</v>
      </c>
      <c r="B28" s="16" t="s">
        <v>94</v>
      </c>
      <c r="C28" s="16" t="s">
        <v>95</v>
      </c>
    </row>
    <row r="29" ht="48" customHeight="1" spans="1:3" x14ac:dyDescent="0.25">
      <c r="A29" s="18" t="s">
        <v>96</v>
      </c>
      <c r="B29" s="18" t="s">
        <v>97</v>
      </c>
      <c r="C29" s="18" t="s">
        <v>98</v>
      </c>
    </row>
    <row r="30" ht="48" customHeight="1" spans="1:3" x14ac:dyDescent="0.25">
      <c r="A30" s="16" t="s">
        <v>99</v>
      </c>
      <c r="B30" s="16" t="s">
        <v>100</v>
      </c>
      <c r="C30" s="16" t="s">
        <v>101</v>
      </c>
    </row>
    <row r="32" ht="20" customHeight="1" spans="1:3" x14ac:dyDescent="0.25">
      <c r="A32" s="14" t="s">
        <v>102</v>
      </c>
      <c r="B32" s="14"/>
      <c r="C32" s="14"/>
    </row>
    <row r="33" ht="48" customHeight="1" spans="1:3" x14ac:dyDescent="0.25">
      <c r="A33" s="19" t="s">
        <v>103</v>
      </c>
      <c r="B33" s="19" t="s">
        <v>104</v>
      </c>
      <c r="C33" s="19" t="s">
        <v>105</v>
      </c>
    </row>
    <row r="34" ht="48" customHeight="1" spans="1:3" x14ac:dyDescent="0.25">
      <c r="A34" s="16" t="s">
        <v>106</v>
      </c>
      <c r="B34" s="16" t="s">
        <v>107</v>
      </c>
      <c r="C34" s="16" t="s">
        <v>105</v>
      </c>
    </row>
    <row r="35" ht="48" customHeight="1" spans="1:3" x14ac:dyDescent="0.25">
      <c r="A35" s="17" t="s">
        <v>108</v>
      </c>
      <c r="B35" s="17" t="s">
        <v>109</v>
      </c>
      <c r="C35" s="17" t="s">
        <v>105</v>
      </c>
    </row>
    <row r="36" ht="48" customHeight="1" spans="1:3" x14ac:dyDescent="0.25">
      <c r="A36" s="15" t="s">
        <v>110</v>
      </c>
      <c r="B36" s="15" t="s">
        <v>111</v>
      </c>
      <c r="C36" s="15" t="s">
        <v>105</v>
      </c>
    </row>
    <row r="38" ht="36" customHeight="1" spans="1:3" x14ac:dyDescent="0.25">
      <c r="A38" s="15" t="s">
        <v>112</v>
      </c>
      <c r="B38" s="15" t="s">
        <v>113</v>
      </c>
      <c r="C38" s="15" t="s">
        <v>105</v>
      </c>
    </row>
  </sheetData>
  <mergeCells count="6">
    <mergeCell ref="A2:C2"/>
    <mergeCell ref="A7:C7"/>
    <mergeCell ref="A14:C14"/>
    <mergeCell ref="A21:C21"/>
    <mergeCell ref="A27:C27"/>
    <mergeCell ref="A32:C32"/>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workbookViewId="0">
      <pane ySplit="1" topLeftCell="A2" activePane="bottomLeft" state="frozen"/>
      <selection pane="bottomLeft"/>
    </sheetView>
  </sheetViews>
  <sheetFormatPr defaultRowHeight="18" outlineLevelRow="0" outlineLevelCol="0" x14ac:dyDescent="55" customHeight="1"/>
  <cols>
    <col min="1" max="1" width="22" customWidth="1"/>
    <col min="2" max="2" width="28" customWidth="1"/>
    <col min="3" max="3" width="52" customWidth="1"/>
    <col min="4" max="4" width="40" customWidth="1"/>
    <col min="5" max="5" width="28" customWidth="1"/>
  </cols>
  <sheetData>
    <row r="1" ht="22" customHeight="1" spans="1:5" x14ac:dyDescent="0.25">
      <c r="A1" s="13" t="s">
        <v>114</v>
      </c>
      <c r="B1" s="13" t="s">
        <v>115</v>
      </c>
      <c r="C1" s="13" t="s">
        <v>116</v>
      </c>
      <c r="D1" s="13" t="s">
        <v>117</v>
      </c>
      <c r="E1" s="13" t="s">
        <v>118</v>
      </c>
    </row>
    <row r="2" ht="42" customHeight="1" spans="1:5" x14ac:dyDescent="0.25">
      <c r="A2" s="18" t="s">
        <v>119</v>
      </c>
      <c r="B2" s="18" t="s">
        <v>120</v>
      </c>
      <c r="C2" s="18" t="s">
        <v>121</v>
      </c>
      <c r="D2" s="18" t="s">
        <v>122</v>
      </c>
      <c r="E2" s="18" t="s">
        <v>123</v>
      </c>
    </row>
    <row r="3" ht="42" customHeight="1" spans="1:5" x14ac:dyDescent="0.25">
      <c r="A3" s="18" t="s">
        <v>119</v>
      </c>
      <c r="B3" s="18" t="s">
        <v>124</v>
      </c>
      <c r="C3" s="18" t="s">
        <v>125</v>
      </c>
      <c r="D3" s="18" t="s">
        <v>126</v>
      </c>
      <c r="E3" s="18" t="s">
        <v>127</v>
      </c>
    </row>
    <row r="4" ht="42" customHeight="1" spans="1:5" x14ac:dyDescent="0.25">
      <c r="A4" s="18" t="s">
        <v>119</v>
      </c>
      <c r="B4" s="18" t="s">
        <v>128</v>
      </c>
      <c r="C4" s="18" t="s">
        <v>129</v>
      </c>
      <c r="D4" s="18" t="s">
        <v>130</v>
      </c>
      <c r="E4" s="18" t="s">
        <v>131</v>
      </c>
    </row>
    <row r="5" ht="42" customHeight="1" spans="1:5" x14ac:dyDescent="0.25">
      <c r="A5" s="16" t="s">
        <v>132</v>
      </c>
      <c r="B5" s="16" t="s">
        <v>133</v>
      </c>
      <c r="C5" s="16" t="s">
        <v>134</v>
      </c>
      <c r="D5" s="16" t="s">
        <v>135</v>
      </c>
      <c r="E5" s="16" t="s">
        <v>136</v>
      </c>
    </row>
    <row r="6" ht="42" customHeight="1" spans="1:5" x14ac:dyDescent="0.25">
      <c r="A6" s="16" t="s">
        <v>132</v>
      </c>
      <c r="B6" s="16" t="s">
        <v>137</v>
      </c>
      <c r="C6" s="16" t="s">
        <v>138</v>
      </c>
      <c r="D6" s="16" t="s">
        <v>139</v>
      </c>
      <c r="E6" s="16" t="s">
        <v>140</v>
      </c>
    </row>
    <row r="7" ht="42" customHeight="1" spans="1:5" x14ac:dyDescent="0.25">
      <c r="A7" s="16" t="s">
        <v>132</v>
      </c>
      <c r="B7" s="16" t="s">
        <v>141</v>
      </c>
      <c r="C7" s="16" t="s">
        <v>142</v>
      </c>
      <c r="D7" s="16" t="s">
        <v>143</v>
      </c>
      <c r="E7" s="16" t="s">
        <v>144</v>
      </c>
    </row>
    <row r="8" ht="42" customHeight="1" spans="1:5" x14ac:dyDescent="0.25">
      <c r="A8" s="18" t="s">
        <v>145</v>
      </c>
      <c r="B8" s="18" t="s">
        <v>146</v>
      </c>
      <c r="C8" s="18" t="s">
        <v>147</v>
      </c>
      <c r="D8" s="18" t="s">
        <v>148</v>
      </c>
      <c r="E8" s="18" t="s">
        <v>149</v>
      </c>
    </row>
    <row r="9" ht="42" customHeight="1" spans="1:5" x14ac:dyDescent="0.25">
      <c r="A9" s="16" t="s">
        <v>145</v>
      </c>
      <c r="B9" s="16" t="s">
        <v>150</v>
      </c>
      <c r="C9" s="16" t="s">
        <v>151</v>
      </c>
      <c r="D9" s="16" t="s">
        <v>152</v>
      </c>
      <c r="E9" s="16" t="s">
        <v>153</v>
      </c>
    </row>
    <row r="10" ht="42" customHeight="1" spans="1:5" x14ac:dyDescent="0.25">
      <c r="A10" s="17" t="s">
        <v>154</v>
      </c>
      <c r="B10" s="17" t="s">
        <v>155</v>
      </c>
      <c r="C10" s="17" t="s">
        <v>156</v>
      </c>
      <c r="D10" s="17" t="s">
        <v>157</v>
      </c>
      <c r="E10" s="17" t="s">
        <v>158</v>
      </c>
    </row>
    <row r="11" ht="42" customHeight="1" spans="1:5" x14ac:dyDescent="0.25">
      <c r="A11" s="16" t="s">
        <v>154</v>
      </c>
      <c r="B11" s="16" t="s">
        <v>159</v>
      </c>
      <c r="C11" s="16" t="s">
        <v>160</v>
      </c>
      <c r="D11" s="16" t="s">
        <v>161</v>
      </c>
      <c r="E11" s="16" t="s">
        <v>162</v>
      </c>
    </row>
    <row r="12" ht="42" customHeight="1" spans="1:5" x14ac:dyDescent="0.25">
      <c r="A12" s="19" t="s">
        <v>163</v>
      </c>
      <c r="B12" s="19" t="s">
        <v>164</v>
      </c>
      <c r="C12" s="19" t="s">
        <v>165</v>
      </c>
      <c r="D12" s="19" t="s">
        <v>166</v>
      </c>
      <c r="E12" s="19" t="s">
        <v>167</v>
      </c>
    </row>
    <row r="13" ht="42" customHeight="1" spans="1:5" x14ac:dyDescent="0.25">
      <c r="A13" s="19" t="s">
        <v>163</v>
      </c>
      <c r="B13" s="19" t="s">
        <v>168</v>
      </c>
      <c r="C13" s="19" t="s">
        <v>169</v>
      </c>
      <c r="D13" s="19" t="s">
        <v>170</v>
      </c>
      <c r="E13" s="19" t="s">
        <v>171</v>
      </c>
    </row>
    <row r="14" ht="42" customHeight="1" spans="1:5" x14ac:dyDescent="0.25">
      <c r="A14" s="19" t="s">
        <v>163</v>
      </c>
      <c r="B14" s="19" t="s">
        <v>172</v>
      </c>
      <c r="C14" s="19" t="s">
        <v>173</v>
      </c>
      <c r="D14" s="19" t="s">
        <v>174</v>
      </c>
      <c r="E14" s="19" t="s">
        <v>175</v>
      </c>
    </row>
    <row r="15" ht="42" customHeight="1" spans="1:5" x14ac:dyDescent="0.25">
      <c r="A15" s="15" t="s">
        <v>176</v>
      </c>
      <c r="B15" s="15" t="s">
        <v>177</v>
      </c>
      <c r="C15" s="15" t="s">
        <v>178</v>
      </c>
      <c r="D15" s="15" t="s">
        <v>179</v>
      </c>
      <c r="E15" s="15" t="s">
        <v>180</v>
      </c>
    </row>
    <row r="16" ht="42" customHeight="1" spans="1:5" x14ac:dyDescent="0.25">
      <c r="A16" s="16" t="s">
        <v>181</v>
      </c>
      <c r="B16" s="16" t="s">
        <v>182</v>
      </c>
      <c r="C16" s="16" t="s">
        <v>183</v>
      </c>
      <c r="D16" s="16" t="s">
        <v>184</v>
      </c>
      <c r="E16" s="16" t="s">
        <v>185</v>
      </c>
    </row>
    <row r="17" ht="42" customHeight="1" spans="1:5" x14ac:dyDescent="0.25">
      <c r="A17" s="16" t="s">
        <v>181</v>
      </c>
      <c r="B17" s="16" t="s">
        <v>186</v>
      </c>
      <c r="C17" s="16" t="s">
        <v>187</v>
      </c>
      <c r="D17" s="16" t="s">
        <v>188</v>
      </c>
      <c r="E17" s="16" t="s">
        <v>189</v>
      </c>
    </row>
    <row r="18" ht="42" customHeight="1" spans="1:5" x14ac:dyDescent="0.25">
      <c r="A18" s="16" t="s">
        <v>181</v>
      </c>
      <c r="B18" s="16" t="s">
        <v>190</v>
      </c>
      <c r="C18" s="16" t="s">
        <v>191</v>
      </c>
      <c r="D18" s="16" t="s">
        <v>192</v>
      </c>
      <c r="E18" s="16" t="s">
        <v>193</v>
      </c>
    </row>
    <row r="19" ht="42" customHeight="1" spans="1:5" x14ac:dyDescent="0.25">
      <c r="A19" s="16" t="s">
        <v>181</v>
      </c>
      <c r="B19" s="16" t="s">
        <v>194</v>
      </c>
      <c r="C19" s="16" t="s">
        <v>195</v>
      </c>
      <c r="D19" s="16" t="s">
        <v>196</v>
      </c>
      <c r="E19" s="16" t="s">
        <v>197</v>
      </c>
    </row>
    <row r="20" ht="42" customHeight="1" spans="1:5" x14ac:dyDescent="0.25">
      <c r="A20" s="17" t="s">
        <v>198</v>
      </c>
      <c r="B20" s="17" t="s">
        <v>199</v>
      </c>
      <c r="C20" s="17" t="s">
        <v>200</v>
      </c>
      <c r="D20" s="17" t="s">
        <v>201</v>
      </c>
      <c r="E20" s="17" t="s">
        <v>202</v>
      </c>
    </row>
    <row r="21" ht="42" customHeight="1" spans="1:5" x14ac:dyDescent="0.25">
      <c r="A21" s="16" t="s">
        <v>203</v>
      </c>
      <c r="B21" s="16" t="s">
        <v>204</v>
      </c>
      <c r="C21" s="16" t="s">
        <v>205</v>
      </c>
      <c r="D21" s="16" t="s">
        <v>206</v>
      </c>
      <c r="E21" s="16" t="s">
        <v>207</v>
      </c>
    </row>
    <row r="22" ht="42" customHeight="1" spans="1:5" x14ac:dyDescent="0.25">
      <c r="A22" s="15" t="s">
        <v>208</v>
      </c>
      <c r="B22" s="15" t="s">
        <v>209</v>
      </c>
      <c r="C22" s="15" t="s">
        <v>210</v>
      </c>
      <c r="D22" s="15" t="s">
        <v>211</v>
      </c>
      <c r="E22" s="15" t="s">
        <v>212</v>
      </c>
    </row>
    <row r="23" ht="42" customHeight="1" spans="1:5" x14ac:dyDescent="0.25">
      <c r="A23" s="15" t="s">
        <v>213</v>
      </c>
      <c r="B23" s="15" t="s">
        <v>214</v>
      </c>
      <c r="C23" s="15" t="s">
        <v>215</v>
      </c>
      <c r="D23" s="15" t="s">
        <v>216</v>
      </c>
      <c r="E23" s="15" t="s">
        <v>217</v>
      </c>
    </row>
    <row r="24" ht="42" customHeight="1" spans="1:5" x14ac:dyDescent="0.25">
      <c r="A24" s="18" t="s">
        <v>218</v>
      </c>
      <c r="B24" s="18" t="s">
        <v>219</v>
      </c>
      <c r="C24" s="18" t="s">
        <v>215</v>
      </c>
      <c r="D24" s="18" t="s">
        <v>220</v>
      </c>
      <c r="E24" s="18" t="s">
        <v>221</v>
      </c>
    </row>
    <row r="26" ht="30" customHeight="1" spans="1:5" x14ac:dyDescent="0.25">
      <c r="A26" s="15" t="s">
        <v>222</v>
      </c>
      <c r="B26" s="15" t="s">
        <v>223</v>
      </c>
      <c r="C26" s="15" t="s">
        <v>105</v>
      </c>
      <c r="D26" s="15" t="s">
        <v>224</v>
      </c>
      <c r="E26" s="15" t="s">
        <v>105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Rezumat</vt:lpstr>
      <vt:lpstr>Abordare</vt:lpstr>
      <vt:lpstr>Resurse</vt:lpstr>
      <vt:lpstr>Localități</vt:lpstr>
      <vt:lpstr>Tarife</vt:lpstr>
      <vt:lpstr>Național</vt:lpstr>
      <vt:lpstr>De sunat</vt:lpstr>
      <vt:lpstr>Întrebări telefon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itle/>
  <dc:subject/>
  <dc:description/>
  <dc:language>en-US</dc:language>
  <cp:lastModifiedBy>Unknown</cp:lastModifiedBy>
  <dcterms:created xsi:type="dcterms:W3CDTF">2026-10-10T21:10:45Z</dcterms:created>
  <dcterms:modified xsi:type="dcterms:W3CDTF">2026-10-10T21:10:45Z</dcterms:modified>
</cp:coreProperties>
</file>